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F:\LPU ALL DATA\LPU Fourth Sem\MTH302\All Activity\"/>
    </mc:Choice>
  </mc:AlternateContent>
  <xr:revisionPtr revIDLastSave="0" documentId="13_ncr:1_{332365FF-641D-4712-9730-F9A60B2CFC78}" xr6:coauthVersionLast="47" xr6:coauthVersionMax="47" xr10:uidLastSave="{00000000-0000-0000-0000-000000000000}"/>
  <bookViews>
    <workbookView xWindow="-108" yWindow="-108" windowWidth="23256" windowHeight="12456" activeTab="5" xr2:uid="{11D197F2-7C80-42C1-A7F5-B7E538991153}"/>
  </bookViews>
  <sheets>
    <sheet name="Activity 1" sheetId="1" r:id="rId1"/>
    <sheet name="Activity 2" sheetId="2" r:id="rId2"/>
    <sheet name="Activity 3" sheetId="3" r:id="rId3"/>
    <sheet name="Activity 4" sheetId="4" r:id="rId4"/>
    <sheet name="Activity 5" sheetId="9" r:id="rId5"/>
    <sheet name="Activity 6" sheetId="6" r:id="rId6"/>
    <sheet name="Activity 7" sheetId="10" r:id="rId7"/>
    <sheet name="Acitivity 8" sheetId="11" r:id="rId8"/>
  </sheets>
  <externalReferences>
    <externalReference r:id="rId9"/>
  </externalReferences>
  <definedNames>
    <definedName name="_xlchart.v1.0" hidden="1">'Activity 3'!$B$3:$B$23</definedName>
    <definedName name="_xlchart.v1.1" hidden="1">'Activity 3'!$C$3:$C$23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6" l="1"/>
  <c r="I20" i="6" s="1"/>
  <c r="J20" i="6"/>
  <c r="J19" i="6"/>
  <c r="J18" i="6"/>
  <c r="J17" i="6"/>
  <c r="J16" i="6"/>
  <c r="J15" i="6"/>
  <c r="I15" i="6"/>
  <c r="J14" i="6"/>
  <c r="I14" i="6"/>
  <c r="J13" i="6"/>
  <c r="I13" i="6"/>
  <c r="J12" i="6"/>
  <c r="I12" i="6"/>
  <c r="J11" i="6"/>
  <c r="I11" i="6"/>
  <c r="J10" i="6"/>
  <c r="I10" i="6"/>
  <c r="J9" i="6"/>
  <c r="I9" i="6"/>
  <c r="J8" i="6"/>
  <c r="I8" i="6"/>
  <c r="J7" i="6"/>
  <c r="I7" i="6"/>
  <c r="J6" i="6"/>
  <c r="I6" i="6"/>
  <c r="J5" i="6"/>
  <c r="I5" i="6"/>
  <c r="J4" i="6"/>
  <c r="I4" i="6"/>
  <c r="L3" i="6"/>
  <c r="J3" i="6"/>
  <c r="I3" i="6"/>
  <c r="F3" i="6"/>
  <c r="F4" i="6" s="1"/>
  <c r="F5" i="6" s="1"/>
  <c r="F6" i="6" s="1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J2" i="6"/>
  <c r="I2" i="6"/>
  <c r="K6" i="11"/>
  <c r="I13" i="11"/>
  <c r="I14" i="11"/>
  <c r="H4" i="11"/>
  <c r="H5" i="11"/>
  <c r="H6" i="11"/>
  <c r="H7" i="11"/>
  <c r="H8" i="11"/>
  <c r="H9" i="11"/>
  <c r="H10" i="11"/>
  <c r="H11" i="11"/>
  <c r="H12" i="11"/>
  <c r="H13" i="11"/>
  <c r="H14" i="11"/>
  <c r="H3" i="11"/>
  <c r="G3" i="11"/>
  <c r="G4" i="11"/>
  <c r="I4" i="11" s="1"/>
  <c r="G5" i="11"/>
  <c r="I5" i="11" s="1"/>
  <c r="G6" i="11"/>
  <c r="I6" i="11" s="1"/>
  <c r="G7" i="11"/>
  <c r="I7" i="11" s="1"/>
  <c r="G8" i="11"/>
  <c r="I8" i="11" s="1"/>
  <c r="G9" i="11"/>
  <c r="I9" i="11" s="1"/>
  <c r="G10" i="11"/>
  <c r="I10" i="11" s="1"/>
  <c r="G11" i="11"/>
  <c r="I11" i="11" s="1"/>
  <c r="G12" i="11"/>
  <c r="I12" i="11" s="1"/>
  <c r="G13" i="11"/>
  <c r="G14" i="11"/>
  <c r="D13" i="11"/>
  <c r="D14" i="11"/>
  <c r="D4" i="11"/>
  <c r="D5" i="11"/>
  <c r="D6" i="11"/>
  <c r="D7" i="11"/>
  <c r="D8" i="11"/>
  <c r="D9" i="11"/>
  <c r="D10" i="11"/>
  <c r="D11" i="11"/>
  <c r="D12" i="11"/>
  <c r="D3" i="11"/>
  <c r="I16" i="6" l="1"/>
  <c r="I17" i="6"/>
  <c r="I18" i="6"/>
  <c r="I19" i="6"/>
  <c r="I3" i="11"/>
  <c r="I16" i="11" s="1"/>
  <c r="C4" i="11"/>
  <c r="C5" i="11"/>
  <c r="C6" i="11"/>
  <c r="C7" i="11"/>
  <c r="C8" i="11"/>
  <c r="C9" i="11"/>
  <c r="C10" i="11"/>
  <c r="C11" i="11"/>
  <c r="C12" i="11"/>
  <c r="C13" i="11"/>
  <c r="C14" i="11"/>
  <c r="C3" i="11"/>
  <c r="C21" i="10"/>
  <c r="C20" i="10"/>
  <c r="C18" i="10"/>
  <c r="C17" i="10"/>
  <c r="C16" i="10"/>
  <c r="C19" i="10" l="1"/>
  <c r="O1" i="9" l="1"/>
  <c r="K79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K45" i="9"/>
  <c r="K46" i="9"/>
  <c r="K47" i="9"/>
  <c r="K48" i="9"/>
  <c r="K49" i="9"/>
  <c r="K50" i="9"/>
  <c r="K51" i="9"/>
  <c r="K52" i="9"/>
  <c r="K53" i="9"/>
  <c r="K54" i="9"/>
  <c r="K55" i="9"/>
  <c r="K56" i="9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K76" i="9"/>
  <c r="K77" i="9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" i="9"/>
  <c r="J79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3" i="9"/>
  <c r="J4" i="9"/>
  <c r="J5" i="9"/>
  <c r="J6" i="9"/>
  <c r="J7" i="9"/>
  <c r="J8" i="9"/>
  <c r="J9" i="9"/>
  <c r="J10" i="9"/>
  <c r="J11" i="9"/>
  <c r="J12" i="9"/>
  <c r="J13" i="9"/>
  <c r="J2" i="9"/>
  <c r="I79" i="9"/>
  <c r="G3" i="9"/>
  <c r="G4" i="9" s="1"/>
  <c r="G5" i="9" s="1"/>
  <c r="G6" i="9" s="1"/>
  <c r="G7" i="9" s="1"/>
  <c r="G8" i="9" s="1"/>
  <c r="G9" i="9" s="1"/>
  <c r="G10" i="9" s="1"/>
  <c r="G11" i="9" s="1"/>
  <c r="G12" i="9" s="1"/>
  <c r="G13" i="9" s="1"/>
  <c r="G14" i="9" s="1"/>
  <c r="G15" i="9" s="1"/>
  <c r="G16" i="9" s="1"/>
  <c r="G17" i="9" s="1"/>
  <c r="G18" i="9" s="1"/>
  <c r="G19" i="9" s="1"/>
  <c r="G20" i="9" s="1"/>
  <c r="G21" i="9" s="1"/>
  <c r="G22" i="9" s="1"/>
  <c r="G23" i="9" s="1"/>
  <c r="G24" i="9" s="1"/>
  <c r="G25" i="9" s="1"/>
  <c r="G26" i="9" s="1"/>
  <c r="G27" i="9" s="1"/>
  <c r="G28" i="9" s="1"/>
  <c r="G29" i="9" s="1"/>
  <c r="G30" i="9" s="1"/>
  <c r="G31" i="9" s="1"/>
  <c r="G32" i="9" s="1"/>
  <c r="G33" i="9" s="1"/>
  <c r="G34" i="9" s="1"/>
  <c r="G35" i="9" s="1"/>
  <c r="G36" i="9" s="1"/>
  <c r="G37" i="9" s="1"/>
  <c r="G38" i="9" s="1"/>
  <c r="G39" i="9" s="1"/>
  <c r="G40" i="9" s="1"/>
  <c r="G41" i="9" s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4" i="9" s="1"/>
  <c r="G55" i="9" s="1"/>
  <c r="G56" i="9" s="1"/>
  <c r="G57" i="9" s="1"/>
  <c r="G58" i="9" s="1"/>
  <c r="G59" i="9" s="1"/>
  <c r="G60" i="9" s="1"/>
  <c r="G61" i="9" s="1"/>
  <c r="G62" i="9" s="1"/>
  <c r="G63" i="9" s="1"/>
  <c r="G64" i="9" s="1"/>
  <c r="G65" i="9" s="1"/>
  <c r="G66" i="9" s="1"/>
  <c r="G67" i="9" s="1"/>
  <c r="G68" i="9" s="1"/>
  <c r="G69" i="9" s="1"/>
  <c r="G70" i="9" s="1"/>
  <c r="G71" i="9" s="1"/>
  <c r="G72" i="9" s="1"/>
  <c r="G73" i="9" s="1"/>
  <c r="G74" i="9" s="1"/>
  <c r="G75" i="9" s="1"/>
  <c r="G76" i="9" s="1"/>
  <c r="G77" i="9" s="1"/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" i="4"/>
  <c r="B2" i="4"/>
  <c r="B26" i="4"/>
  <c r="B27" i="4"/>
  <c r="B15" i="4"/>
  <c r="B16" i="4"/>
  <c r="B17" i="4"/>
  <c r="B18" i="4"/>
  <c r="B19" i="4"/>
  <c r="B20" i="4"/>
  <c r="B21" i="4"/>
  <c r="B22" i="4"/>
  <c r="B23" i="4"/>
  <c r="B24" i="4"/>
  <c r="B25" i="4"/>
  <c r="B6" i="4"/>
  <c r="B7" i="4"/>
  <c r="B8" i="4"/>
  <c r="B9" i="4"/>
  <c r="B10" i="4"/>
  <c r="B11" i="4"/>
  <c r="B12" i="4"/>
  <c r="B13" i="4"/>
  <c r="B14" i="4"/>
  <c r="B3" i="4"/>
  <c r="B4" i="4"/>
  <c r="B5" i="4"/>
  <c r="C4" i="3" l="1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3" i="3"/>
</calcChain>
</file>

<file path=xl/sharedStrings.xml><?xml version="1.0" encoding="utf-8"?>
<sst xmlns="http://schemas.openxmlformats.org/spreadsheetml/2006/main" count="157" uniqueCount="108">
  <si>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</si>
  <si>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</si>
  <si>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</si>
  <si>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</si>
  <si>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</si>
  <si>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</si>
  <si>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</si>
  <si>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</si>
  <si>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</si>
  <si>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</si>
  <si>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</si>
  <si>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</si>
  <si>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</si>
  <si>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</si>
  <si>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</si>
  <si>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</si>
  <si>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>Roll number : 12</t>
  </si>
  <si>
    <t>Section:- K23EL</t>
  </si>
  <si>
    <t>Random Variable X (Roll No(12) + 32</t>
  </si>
  <si>
    <t>Random Variable Y (Roll no(12) + 32</t>
  </si>
  <si>
    <t xml:space="preserve">Random Number 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</si>
  <si>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</si>
  <si>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</si>
  <si>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</si>
  <si>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</si>
  <si>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</si>
  <si>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</si>
  <si>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</si>
  <si>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</si>
  <si>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</si>
  <si>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</si>
  <si>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</si>
  <si>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</si>
  <si>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</si>
  <si>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</si>
  <si>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</si>
  <si>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</si>
  <si>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</si>
  <si>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</si>
  <si>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</si>
  <si>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</si>
  <si>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</si>
  <si>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</si>
  <si>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</si>
  <si>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</si>
  <si>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</si>
  <si>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14</t>
  </si>
  <si>
    <t>Residuals</t>
  </si>
  <si>
    <t>n</t>
  </si>
  <si>
    <t>p</t>
  </si>
  <si>
    <t>Successes (x)</t>
  </si>
  <si>
    <t>CDF F(x)</t>
  </si>
  <si>
    <t>PDF f(x)</t>
  </si>
  <si>
    <t>ROLL NO 12</t>
  </si>
  <si>
    <t>SECTION K23EL</t>
  </si>
  <si>
    <t>Success (k)</t>
  </si>
  <si>
    <t>CDF</t>
  </si>
  <si>
    <t xml:space="preserve">PMF 
</t>
  </si>
  <si>
    <t>K23EL</t>
  </si>
  <si>
    <t>ROLL NO. 12</t>
  </si>
  <si>
    <t>ROLL NO.12</t>
  </si>
  <si>
    <t>Descriptive Statistics</t>
  </si>
  <si>
    <t>Data</t>
  </si>
  <si>
    <t>BIN</t>
  </si>
  <si>
    <t>Bin</t>
  </si>
  <si>
    <t>Frequency</t>
  </si>
  <si>
    <t>P(x)</t>
  </si>
  <si>
    <t>f(x)</t>
  </si>
  <si>
    <t xml:space="preserve"> </t>
  </si>
  <si>
    <t>Roll no 12</t>
  </si>
  <si>
    <t xml:space="preserve">Standard Deviation </t>
  </si>
  <si>
    <t xml:space="preserve"> t-Statistic</t>
  </si>
  <si>
    <t>Null Hypothesis (H₀): μ = 33.5</t>
  </si>
  <si>
    <t>Alternate Hypothesis (H₁): μ ≠ 33.5</t>
  </si>
  <si>
    <t>Degree of Freedom</t>
  </si>
  <si>
    <t>Critical t-value for 0.05 significance level for two-tailed test</t>
  </si>
  <si>
    <t>As T-statistic &gt; Tabulated value at 5% level of significance we state null Hypothesis is rejected</t>
  </si>
  <si>
    <t>Activity 7</t>
  </si>
  <si>
    <t>9269453747</t>
  </si>
  <si>
    <t>7374708875</t>
  </si>
  <si>
    <t>8436898485</t>
  </si>
  <si>
    <t>7575835718</t>
  </si>
  <si>
    <t>9396099099</t>
  </si>
  <si>
    <t>8389112884</t>
  </si>
  <si>
    <t>9537212859</t>
  </si>
  <si>
    <t>8764943313</t>
  </si>
  <si>
    <t>7231770338</t>
  </si>
  <si>
    <t>9100508222</t>
  </si>
  <si>
    <t>Mobile Number</t>
  </si>
  <si>
    <t>Last Digit</t>
  </si>
  <si>
    <t xml:space="preserve">Second Last Digit </t>
  </si>
  <si>
    <t>COMBINE</t>
  </si>
  <si>
    <t>Frequency 1</t>
  </si>
  <si>
    <t>Expected Frequency</t>
  </si>
  <si>
    <t>Chi- Square Test</t>
  </si>
  <si>
    <t>9542135770</t>
  </si>
  <si>
    <t>9546654106</t>
  </si>
  <si>
    <t>SUM</t>
  </si>
  <si>
    <t xml:space="preserve">Compare it with Chisquare table at 9 degree of freedom </t>
  </si>
  <si>
    <t>There is no strong evidence that mobile number allocation is biased based on the last and 2nd last</t>
  </si>
  <si>
    <t>df=11</t>
  </si>
  <si>
    <t>Chi-square value =14.72</t>
  </si>
  <si>
    <t xml:space="preserve">At 9 degree of freedom at significance level at 0.05 = </t>
  </si>
  <si>
    <t>Chi-square value &lt; 19.675 mobile number allocation is not biased</t>
  </si>
  <si>
    <t>Column1</t>
  </si>
  <si>
    <t>More</t>
  </si>
  <si>
    <t>sum</t>
  </si>
  <si>
    <t>Roll no 12 and K23EL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</si>
</sst>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i/>
      <sz val="14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Continuous"/>
    </xf>
    <xf numFmtId="0" fontId="3" fillId="0" borderId="0" xfId="0" applyFont="1"/>
    <xf numFmtId="0" fontId="3" fillId="0" borderId="1" xfId="0" applyFont="1" applyBorder="1"/>
    <xf numFmtId="0" fontId="4" fillId="0" borderId="0" xfId="0" applyFont="1"/>
    <xf numFmtId="0" fontId="2" fillId="0" borderId="2" xfId="0" applyFont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top" wrapText="1"/>
    </xf>
    <xf numFmtId="0" fontId="7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0" fontId="3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3" xfId="0" applyFont="1" applyFill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9" fillId="0" borderId="2" xfId="0" applyFont="1" applyBorder="1" applyAlignment="1">
      <alignment horizontal="centerContinuous"/>
    </xf>
    <xf numFmtId="0" fontId="8" fillId="0" borderId="1" xfId="0" applyFont="1" applyBorder="1"/>
    <xf numFmtId="0" fontId="9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 wrapText="1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 wrapText="1"/>
    </xf>
    <xf numFmtId="0" fontId="7" fillId="5" borderId="11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10" fillId="0" borderId="3" xfId="0" applyFont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/>
    </xf>
    <xf numFmtId="0" fontId="10" fillId="8" borderId="13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8" fillId="6" borderId="9" xfId="0" applyFont="1" applyFill="1" applyBorder="1" applyAlignment="1">
      <alignment horizontal="center"/>
    </xf>
    <xf numFmtId="0" fontId="8" fillId="4" borderId="9" xfId="0" applyFont="1" applyFill="1" applyBorder="1"/>
    <xf numFmtId="0" fontId="8" fillId="7" borderId="9" xfId="0" applyFont="1" applyFill="1" applyBorder="1"/>
    <xf numFmtId="0" fontId="8" fillId="7" borderId="11" xfId="0" applyFont="1" applyFill="1" applyBorder="1"/>
    <xf numFmtId="0" fontId="8" fillId="9" borderId="10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8" fillId="9" borderId="8" xfId="0" applyFont="1" applyFill="1" applyBorder="1" applyAlignment="1">
      <alignment horizontal="center"/>
    </xf>
    <xf numFmtId="0" fontId="8" fillId="9" borderId="10" xfId="0" applyFont="1" applyFill="1" applyBorder="1"/>
    <xf numFmtId="0" fontId="8" fillId="9" borderId="12" xfId="0" applyFont="1" applyFill="1" applyBorder="1"/>
    <xf numFmtId="0" fontId="5" fillId="0" borderId="3" xfId="0" applyFont="1" applyBorder="1" applyAlignment="1">
      <alignment horizontal="center" vertical="center"/>
    </xf>
    <xf numFmtId="0" fontId="4" fillId="2" borderId="0" xfId="0" applyFont="1" applyFill="1"/>
    <xf numFmtId="0" fontId="11" fillId="2" borderId="2" xfId="0" applyFont="1" applyFill="1" applyBorder="1" applyAlignment="1">
      <alignment horizontal="centerContinuous"/>
    </xf>
    <xf numFmtId="0" fontId="1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16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'Activity 2'!$A$3:$A$32</c:f>
              <c:numCache>
                <c:formatCode>General</c:formatCode>
                <c:ptCount val="30"/>
                <c:pt idx="0">
                  <c:v>23</c:v>
                </c:pt>
                <c:pt idx="1">
                  <c:v>29</c:v>
                </c:pt>
                <c:pt idx="2">
                  <c:v>32</c:v>
                </c:pt>
                <c:pt idx="3">
                  <c:v>16</c:v>
                </c:pt>
                <c:pt idx="4">
                  <c:v>24</c:v>
                </c:pt>
                <c:pt idx="5">
                  <c:v>17</c:v>
                </c:pt>
                <c:pt idx="6">
                  <c:v>29</c:v>
                </c:pt>
                <c:pt idx="7">
                  <c:v>19</c:v>
                </c:pt>
                <c:pt idx="8">
                  <c:v>31</c:v>
                </c:pt>
                <c:pt idx="9">
                  <c:v>28</c:v>
                </c:pt>
                <c:pt idx="10">
                  <c:v>26</c:v>
                </c:pt>
                <c:pt idx="11">
                  <c:v>31</c:v>
                </c:pt>
                <c:pt idx="12">
                  <c:v>24</c:v>
                </c:pt>
                <c:pt idx="13">
                  <c:v>22</c:v>
                </c:pt>
                <c:pt idx="14">
                  <c:v>12</c:v>
                </c:pt>
                <c:pt idx="15">
                  <c:v>25</c:v>
                </c:pt>
                <c:pt idx="16">
                  <c:v>23</c:v>
                </c:pt>
                <c:pt idx="17">
                  <c:v>17</c:v>
                </c:pt>
                <c:pt idx="18">
                  <c:v>25</c:v>
                </c:pt>
                <c:pt idx="19">
                  <c:v>31</c:v>
                </c:pt>
                <c:pt idx="20">
                  <c:v>31</c:v>
                </c:pt>
                <c:pt idx="21">
                  <c:v>24</c:v>
                </c:pt>
                <c:pt idx="22">
                  <c:v>31</c:v>
                </c:pt>
                <c:pt idx="23">
                  <c:v>12</c:v>
                </c:pt>
                <c:pt idx="24">
                  <c:v>29</c:v>
                </c:pt>
                <c:pt idx="25">
                  <c:v>29</c:v>
                </c:pt>
                <c:pt idx="26">
                  <c:v>23</c:v>
                </c:pt>
                <c:pt idx="27">
                  <c:v>22</c:v>
                </c:pt>
                <c:pt idx="28">
                  <c:v>24</c:v>
                </c:pt>
                <c:pt idx="29">
                  <c:v>20</c:v>
                </c:pt>
              </c:numCache>
            </c:numRef>
          </c:xVal>
          <c:yVal>
            <c:numRef>
              <c:f>'Activity 2'!$B$3:$B$32</c:f>
              <c:numCache>
                <c:formatCode>General</c:formatCode>
                <c:ptCount val="30"/>
                <c:pt idx="0">
                  <c:v>30</c:v>
                </c:pt>
                <c:pt idx="1">
                  <c:v>16</c:v>
                </c:pt>
                <c:pt idx="2">
                  <c:v>27</c:v>
                </c:pt>
                <c:pt idx="3">
                  <c:v>14</c:v>
                </c:pt>
                <c:pt idx="4">
                  <c:v>32</c:v>
                </c:pt>
                <c:pt idx="5">
                  <c:v>13</c:v>
                </c:pt>
                <c:pt idx="6">
                  <c:v>32</c:v>
                </c:pt>
                <c:pt idx="7">
                  <c:v>23</c:v>
                </c:pt>
                <c:pt idx="8">
                  <c:v>22</c:v>
                </c:pt>
                <c:pt idx="9">
                  <c:v>32</c:v>
                </c:pt>
                <c:pt idx="10">
                  <c:v>19</c:v>
                </c:pt>
                <c:pt idx="11">
                  <c:v>24</c:v>
                </c:pt>
                <c:pt idx="12">
                  <c:v>18</c:v>
                </c:pt>
                <c:pt idx="13">
                  <c:v>31</c:v>
                </c:pt>
                <c:pt idx="14">
                  <c:v>17</c:v>
                </c:pt>
                <c:pt idx="15">
                  <c:v>13</c:v>
                </c:pt>
                <c:pt idx="16">
                  <c:v>21</c:v>
                </c:pt>
                <c:pt idx="17">
                  <c:v>21</c:v>
                </c:pt>
                <c:pt idx="18">
                  <c:v>12</c:v>
                </c:pt>
                <c:pt idx="19">
                  <c:v>18</c:v>
                </c:pt>
                <c:pt idx="20">
                  <c:v>21</c:v>
                </c:pt>
                <c:pt idx="21">
                  <c:v>19</c:v>
                </c:pt>
                <c:pt idx="22">
                  <c:v>18</c:v>
                </c:pt>
                <c:pt idx="23">
                  <c:v>19</c:v>
                </c:pt>
                <c:pt idx="24">
                  <c:v>18</c:v>
                </c:pt>
                <c:pt idx="25">
                  <c:v>27</c:v>
                </c:pt>
                <c:pt idx="26">
                  <c:v>23</c:v>
                </c:pt>
                <c:pt idx="27">
                  <c:v>28</c:v>
                </c:pt>
                <c:pt idx="28">
                  <c:v>15</c:v>
                </c:pt>
                <c:pt idx="29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D1-42C2-B3DF-C4F0BB2EDABE}"/>
            </c:ext>
          </c:extLst>
        </c:ser>
        <c:ser>
          <c:idx val="1"/>
          <c:order val="1"/>
          <c:tx>
            <c:v>Predicted 14</c:v>
          </c:tx>
          <c:spPr>
            <a:ln w="38100">
              <a:noFill/>
            </a:ln>
          </c:spPr>
          <c:xVal>
            <c:numRef>
              <c:f>'Activity 2'!$A$3:$A$32</c:f>
              <c:numCache>
                <c:formatCode>General</c:formatCode>
                <c:ptCount val="30"/>
                <c:pt idx="0">
                  <c:v>23</c:v>
                </c:pt>
                <c:pt idx="1">
                  <c:v>29</c:v>
                </c:pt>
                <c:pt idx="2">
                  <c:v>32</c:v>
                </c:pt>
                <c:pt idx="3">
                  <c:v>16</c:v>
                </c:pt>
                <c:pt idx="4">
                  <c:v>24</c:v>
                </c:pt>
                <c:pt idx="5">
                  <c:v>17</c:v>
                </c:pt>
                <c:pt idx="6">
                  <c:v>29</c:v>
                </c:pt>
                <c:pt idx="7">
                  <c:v>19</c:v>
                </c:pt>
                <c:pt idx="8">
                  <c:v>31</c:v>
                </c:pt>
                <c:pt idx="9">
                  <c:v>28</c:v>
                </c:pt>
                <c:pt idx="10">
                  <c:v>26</c:v>
                </c:pt>
                <c:pt idx="11">
                  <c:v>31</c:v>
                </c:pt>
                <c:pt idx="12">
                  <c:v>24</c:v>
                </c:pt>
                <c:pt idx="13">
                  <c:v>22</c:v>
                </c:pt>
                <c:pt idx="14">
                  <c:v>12</c:v>
                </c:pt>
                <c:pt idx="15">
                  <c:v>25</c:v>
                </c:pt>
                <c:pt idx="16">
                  <c:v>23</c:v>
                </c:pt>
                <c:pt idx="17">
                  <c:v>17</c:v>
                </c:pt>
                <c:pt idx="18">
                  <c:v>25</c:v>
                </c:pt>
                <c:pt idx="19">
                  <c:v>31</c:v>
                </c:pt>
                <c:pt idx="20">
                  <c:v>31</c:v>
                </c:pt>
                <c:pt idx="21">
                  <c:v>24</c:v>
                </c:pt>
                <c:pt idx="22">
                  <c:v>31</c:v>
                </c:pt>
                <c:pt idx="23">
                  <c:v>12</c:v>
                </c:pt>
                <c:pt idx="24">
                  <c:v>29</c:v>
                </c:pt>
                <c:pt idx="25">
                  <c:v>29</c:v>
                </c:pt>
                <c:pt idx="26">
                  <c:v>23</c:v>
                </c:pt>
                <c:pt idx="27">
                  <c:v>22</c:v>
                </c:pt>
                <c:pt idx="28">
                  <c:v>24</c:v>
                </c:pt>
                <c:pt idx="29">
                  <c:v>20</c:v>
                </c:pt>
              </c:numCache>
            </c:numRef>
          </c:xVal>
          <c:yVal>
            <c:numRef>
              <c:f>'Activity 2'!$D$26:$D$55</c:f>
              <c:numCache>
                <c:formatCode>General</c:formatCode>
                <c:ptCount val="30"/>
                <c:pt idx="0">
                  <c:v>21.267763087176178</c:v>
                </c:pt>
                <c:pt idx="1">
                  <c:v>22.647318069439965</c:v>
                </c:pt>
                <c:pt idx="2">
                  <c:v>23.337095560571857</c:v>
                </c:pt>
                <c:pt idx="3">
                  <c:v>19.658282274535097</c:v>
                </c:pt>
                <c:pt idx="4">
                  <c:v>21.497688917553475</c:v>
                </c:pt>
                <c:pt idx="5">
                  <c:v>19.888208104912394</c:v>
                </c:pt>
                <c:pt idx="6">
                  <c:v>22.647318069439965</c:v>
                </c:pt>
                <c:pt idx="7">
                  <c:v>20.348059765666989</c:v>
                </c:pt>
                <c:pt idx="8">
                  <c:v>23.10716973019456</c:v>
                </c:pt>
                <c:pt idx="9">
                  <c:v>22.417392239062668</c:v>
                </c:pt>
                <c:pt idx="10">
                  <c:v>21.957540578308073</c:v>
                </c:pt>
                <c:pt idx="11">
                  <c:v>23.10716973019456</c:v>
                </c:pt>
                <c:pt idx="12">
                  <c:v>21.497688917553475</c:v>
                </c:pt>
                <c:pt idx="13">
                  <c:v>21.037837256798881</c:v>
                </c:pt>
                <c:pt idx="14">
                  <c:v>18.738578953025907</c:v>
                </c:pt>
                <c:pt idx="15">
                  <c:v>21.727614747930776</c:v>
                </c:pt>
                <c:pt idx="16">
                  <c:v>21.267763087176178</c:v>
                </c:pt>
                <c:pt idx="17">
                  <c:v>19.888208104912394</c:v>
                </c:pt>
                <c:pt idx="18">
                  <c:v>21.727614747930776</c:v>
                </c:pt>
                <c:pt idx="19">
                  <c:v>23.10716973019456</c:v>
                </c:pt>
                <c:pt idx="20">
                  <c:v>23.10716973019456</c:v>
                </c:pt>
                <c:pt idx="21">
                  <c:v>21.497688917553475</c:v>
                </c:pt>
                <c:pt idx="22">
                  <c:v>23.10716973019456</c:v>
                </c:pt>
                <c:pt idx="23">
                  <c:v>18.738578953025907</c:v>
                </c:pt>
                <c:pt idx="24">
                  <c:v>22.647318069439965</c:v>
                </c:pt>
                <c:pt idx="25">
                  <c:v>22.647318069439965</c:v>
                </c:pt>
                <c:pt idx="26">
                  <c:v>21.267763087176178</c:v>
                </c:pt>
                <c:pt idx="27">
                  <c:v>21.037837256798881</c:v>
                </c:pt>
                <c:pt idx="28">
                  <c:v>21.497688917553475</c:v>
                </c:pt>
                <c:pt idx="29">
                  <c:v>20.577985596044286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D1-42C2-B3DF-C4F0BB2EDA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3727759"/>
        <c:axId val="1013707183"/>
      </c:scatterChart>
      <c:valAx>
        <c:axId val="1013727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16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3707183"/>
        <c:crosses val="autoZero"/>
        <c:crossBetween val="midCat"/>
      </c:valAx>
      <c:valAx>
        <c:axId val="101370718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137277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PMF (</a:t>
            </a:r>
            <a:r>
              <a:rPr lang="el-GR" sz="1400" b="1" i="0" u="none" strike="noStrike" cap="none" baseline="0"/>
              <a:t>λ=9)</a:t>
            </a:r>
            <a:r>
              <a:rPr lang="en-IN" baseline="0"/>
              <a:t> 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val>
            <c:numRef>
              <c:f>'Activity 4'!$B$2:$B$27</c:f>
              <c:numCache>
                <c:formatCode>General</c:formatCode>
                <c:ptCount val="26"/>
                <c:pt idx="0">
                  <c:v>1.2340980408667956E-4</c:v>
                </c:pt>
                <c:pt idx="1">
                  <c:v>1.1106882367801162E-3</c:v>
                </c:pt>
                <c:pt idx="2">
                  <c:v>4.9980970655105258E-3</c:v>
                </c:pt>
                <c:pt idx="3">
                  <c:v>1.4994291196531569E-2</c:v>
                </c:pt>
                <c:pt idx="4">
                  <c:v>3.3737155192196028E-2</c:v>
                </c:pt>
                <c:pt idx="5">
                  <c:v>6.0726879345952833E-2</c:v>
                </c:pt>
                <c:pt idx="6">
                  <c:v>9.1090319018929236E-2</c:v>
                </c:pt>
                <c:pt idx="7">
                  <c:v>0.11711612445290902</c:v>
                </c:pt>
                <c:pt idx="8">
                  <c:v>0.1317556400095227</c:v>
                </c:pt>
                <c:pt idx="9">
                  <c:v>0.1317556400095227</c:v>
                </c:pt>
                <c:pt idx="10">
                  <c:v>0.11858007600857041</c:v>
                </c:pt>
                <c:pt idx="11">
                  <c:v>9.7020062188830358E-2</c:v>
                </c:pt>
                <c:pt idx="12">
                  <c:v>7.2765046641622769E-2</c:v>
                </c:pt>
                <c:pt idx="13">
                  <c:v>5.0375801521123482E-2</c:v>
                </c:pt>
                <c:pt idx="14">
                  <c:v>3.238444383500793E-2</c:v>
                </c:pt>
                <c:pt idx="15">
                  <c:v>1.9430666301004745E-2</c:v>
                </c:pt>
                <c:pt idx="16">
                  <c:v>1.0929749794315186E-2</c:v>
                </c:pt>
                <c:pt idx="17">
                  <c:v>5.7863381264021485E-3</c:v>
                </c:pt>
                <c:pt idx="18">
                  <c:v>2.893169063201076E-3</c:v>
                </c:pt>
                <c:pt idx="19">
                  <c:v>1.3704485036215598E-3</c:v>
                </c:pt>
                <c:pt idx="20">
                  <c:v>6.167018266297025E-4</c:v>
                </c:pt>
                <c:pt idx="21">
                  <c:v>2.6430078284130093E-4</c:v>
                </c:pt>
                <c:pt idx="22">
                  <c:v>1.0812304752598672E-4</c:v>
                </c:pt>
                <c:pt idx="23">
                  <c:v>4.2309018597125411E-5</c:v>
                </c:pt>
                <c:pt idx="24">
                  <c:v>1.5865881973921998E-5</c:v>
                </c:pt>
                <c:pt idx="25">
                  <c:v>5.7117175106119289E-6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34-479D-8AAC-EF31F2A037D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74895823"/>
        <c:axId val="874894383"/>
      </c:lineChart>
      <c:catAx>
        <c:axId val="87489582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894383"/>
        <c:crosses val="autoZero"/>
        <c:auto val="1"/>
        <c:lblAlgn val="ctr"/>
        <c:lblOffset val="100"/>
        <c:noMultiLvlLbl val="0"/>
      </c:catAx>
      <c:valAx>
        <c:axId val="87489438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4895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cap="none" baseline="0"/>
              <a:t>Poisson CDF (</a:t>
            </a:r>
            <a:r>
              <a:rPr lang="el-GR" sz="1400" b="1" i="0" u="none" strike="noStrike" cap="none" baseline="0"/>
              <a:t>λ=</a:t>
            </a:r>
            <a:r>
              <a:rPr lang="en-IN" sz="1400" b="1" i="0" u="none" strike="noStrike" cap="none" baseline="0"/>
              <a:t>9)</a:t>
            </a:r>
          </a:p>
        </c:rich>
      </c:tx>
      <c:layout>
        <c:manualLayout>
          <c:xMode val="edge"/>
          <c:yMode val="edge"/>
          <c:x val="0.41835108434241797"/>
          <c:y val="1.2820512820512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val>
            <c:numRef>
              <c:f>'Activity 4'!$C$2:$C$27</c:f>
              <c:numCache>
                <c:formatCode>General</c:formatCode>
                <c:ptCount val="26"/>
                <c:pt idx="0">
                  <c:v>1.2340980408667956E-4</c:v>
                </c:pt>
                <c:pt idx="1">
                  <c:v>1.2340980408667955E-3</c:v>
                </c:pt>
                <c:pt idx="2">
                  <c:v>6.2321951063773178E-3</c:v>
                </c:pt>
                <c:pt idx="3">
                  <c:v>2.1226486302908885E-2</c:v>
                </c:pt>
                <c:pt idx="4">
                  <c:v>5.4963641495104909E-2</c:v>
                </c:pt>
                <c:pt idx="5">
                  <c:v>0.11569052084105776</c:v>
                </c:pt>
                <c:pt idx="6">
                  <c:v>0.20678083985998702</c:v>
                </c:pt>
                <c:pt idx="7">
                  <c:v>0.323896964312896</c:v>
                </c:pt>
                <c:pt idx="8">
                  <c:v>0.45565260432241883</c:v>
                </c:pt>
                <c:pt idx="9">
                  <c:v>0.58740824433194128</c:v>
                </c:pt>
                <c:pt idx="10">
                  <c:v>0.70598832034051195</c:v>
                </c:pt>
                <c:pt idx="11">
                  <c:v>0.80300838252934215</c:v>
                </c:pt>
                <c:pt idx="12">
                  <c:v>0.87577342917096479</c:v>
                </c:pt>
                <c:pt idx="13">
                  <c:v>0.92614923069208832</c:v>
                </c:pt>
                <c:pt idx="14">
                  <c:v>0.95853367452709626</c:v>
                </c:pt>
                <c:pt idx="15">
                  <c:v>0.97796434082810102</c:v>
                </c:pt>
                <c:pt idx="16">
                  <c:v>0.98889409062241618</c:v>
                </c:pt>
                <c:pt idx="17">
                  <c:v>0.99468042874881835</c:v>
                </c:pt>
                <c:pt idx="18">
                  <c:v>0.99757359781201949</c:v>
                </c:pt>
                <c:pt idx="19">
                  <c:v>0.99894404631564093</c:v>
                </c:pt>
                <c:pt idx="20">
                  <c:v>0.99956074814227069</c:v>
                </c:pt>
                <c:pt idx="21">
                  <c:v>0.99982504892511193</c:v>
                </c:pt>
                <c:pt idx="22">
                  <c:v>0.99993317197263798</c:v>
                </c:pt>
                <c:pt idx="23">
                  <c:v>0.99997548099123512</c:v>
                </c:pt>
                <c:pt idx="24">
                  <c:v>0.99999134687320912</c:v>
                </c:pt>
                <c:pt idx="25">
                  <c:v>0.99999705859071963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B5-4B75-99B7-BD6E44AC35E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18356895"/>
        <c:axId val="818359775"/>
      </c:lineChart>
      <c:catAx>
        <c:axId val="81835689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59775"/>
        <c:crosses val="autoZero"/>
        <c:auto val="1"/>
        <c:lblAlgn val="ctr"/>
        <c:lblOffset val="100"/>
        <c:noMultiLvlLbl val="0"/>
      </c:catAx>
      <c:valAx>
        <c:axId val="81835977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356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457541227759652E-2"/>
          <c:y val="0.21355099042106915"/>
          <c:w val="0.9125024317282332"/>
          <c:h val="0.7041189963434058"/>
        </c:manualLayout>
      </c:layout>
      <c:lineChart>
        <c:grouping val="standard"/>
        <c:varyColors val="0"/>
        <c:ser>
          <c:idx val="0"/>
          <c:order val="0"/>
          <c:tx>
            <c:strRef>
              <c:f>'Activity 5'!$J$1</c:f>
              <c:strCache>
                <c:ptCount val="1"/>
                <c:pt idx="0">
                  <c:v>P(x)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'Activity 5'!$J$2:$J$77</c:f>
              <c:numCache>
                <c:formatCode>General</c:formatCode>
                <c:ptCount val="76"/>
                <c:pt idx="0">
                  <c:v>0</c:v>
                </c:pt>
                <c:pt idx="1">
                  <c:v>1.3698630136986301E-2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2.7397260273972601E-2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2.7397260273972601E-2</c:v>
                </c:pt>
                <c:pt idx="15">
                  <c:v>1.3698630136986301E-2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1.3698630136986301E-2</c:v>
                </c:pt>
                <c:pt idx="20">
                  <c:v>0</c:v>
                </c:pt>
                <c:pt idx="21">
                  <c:v>1.3698630136986301E-2</c:v>
                </c:pt>
                <c:pt idx="22">
                  <c:v>2.7397260273972601E-2</c:v>
                </c:pt>
                <c:pt idx="23">
                  <c:v>2.7397260273972601E-2</c:v>
                </c:pt>
                <c:pt idx="24">
                  <c:v>1.3698630136986301E-2</c:v>
                </c:pt>
                <c:pt idx="25">
                  <c:v>1.3698630136986301E-2</c:v>
                </c:pt>
                <c:pt idx="26">
                  <c:v>1.3698630136986301E-2</c:v>
                </c:pt>
                <c:pt idx="27">
                  <c:v>1.3698630136986301E-2</c:v>
                </c:pt>
                <c:pt idx="28">
                  <c:v>0</c:v>
                </c:pt>
                <c:pt idx="29">
                  <c:v>2.7397260273972601E-2</c:v>
                </c:pt>
                <c:pt idx="30">
                  <c:v>6.8493150684931503E-2</c:v>
                </c:pt>
                <c:pt idx="31">
                  <c:v>0</c:v>
                </c:pt>
                <c:pt idx="32">
                  <c:v>1.3698630136986301E-2</c:v>
                </c:pt>
                <c:pt idx="33">
                  <c:v>2.7397260273972601E-2</c:v>
                </c:pt>
                <c:pt idx="34">
                  <c:v>6.8493150684931503E-2</c:v>
                </c:pt>
                <c:pt idx="35">
                  <c:v>5.4794520547945202E-2</c:v>
                </c:pt>
                <c:pt idx="36">
                  <c:v>1.3698630136986301E-2</c:v>
                </c:pt>
                <c:pt idx="37">
                  <c:v>1.3698630136986301E-2</c:v>
                </c:pt>
                <c:pt idx="38">
                  <c:v>2.7397260273972601E-2</c:v>
                </c:pt>
                <c:pt idx="39">
                  <c:v>6.8493150684931503E-2</c:v>
                </c:pt>
                <c:pt idx="40">
                  <c:v>2.7397260273972601E-2</c:v>
                </c:pt>
                <c:pt idx="41">
                  <c:v>1.3698630136986301E-2</c:v>
                </c:pt>
                <c:pt idx="42">
                  <c:v>4.1095890410958902E-2</c:v>
                </c:pt>
                <c:pt idx="43">
                  <c:v>2.7397260273972601E-2</c:v>
                </c:pt>
                <c:pt idx="44">
                  <c:v>2.7397260273972601E-2</c:v>
                </c:pt>
                <c:pt idx="45">
                  <c:v>4.1095890410958902E-2</c:v>
                </c:pt>
                <c:pt idx="46">
                  <c:v>1.3698630136986301E-2</c:v>
                </c:pt>
                <c:pt idx="47">
                  <c:v>1.3698630136986301E-2</c:v>
                </c:pt>
                <c:pt idx="48">
                  <c:v>0</c:v>
                </c:pt>
                <c:pt idx="49">
                  <c:v>1.3698630136986301E-2</c:v>
                </c:pt>
                <c:pt idx="50">
                  <c:v>0</c:v>
                </c:pt>
                <c:pt idx="51">
                  <c:v>0</c:v>
                </c:pt>
                <c:pt idx="52">
                  <c:v>1.3698630136986301E-2</c:v>
                </c:pt>
                <c:pt idx="53">
                  <c:v>0</c:v>
                </c:pt>
                <c:pt idx="54">
                  <c:v>0</c:v>
                </c:pt>
                <c:pt idx="55">
                  <c:v>1.3698630136986301E-2</c:v>
                </c:pt>
                <c:pt idx="56">
                  <c:v>1.3698630136986301E-2</c:v>
                </c:pt>
                <c:pt idx="57">
                  <c:v>2.7397260273972601E-2</c:v>
                </c:pt>
                <c:pt idx="58">
                  <c:v>0</c:v>
                </c:pt>
                <c:pt idx="59">
                  <c:v>1.3698630136986301E-2</c:v>
                </c:pt>
                <c:pt idx="60">
                  <c:v>2.7397260273972601E-2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1.3698630136986301E-2</c:v>
                </c:pt>
                <c:pt idx="65">
                  <c:v>1.3698630136986301E-2</c:v>
                </c:pt>
                <c:pt idx="66">
                  <c:v>1.3698630136986301E-2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1.3698630136986301E-2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1.3698630136986301E-2</c:v>
                </c:pt>
                <c:pt idx="7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529-47A7-ABC4-89EDE24C75D9}"/>
            </c:ext>
          </c:extLst>
        </c:ser>
        <c:ser>
          <c:idx val="1"/>
          <c:order val="1"/>
          <c:tx>
            <c:strRef>
              <c:f>'Activity 5'!$K$1</c:f>
              <c:strCache>
                <c:ptCount val="1"/>
                <c:pt idx="0">
                  <c:v>f(x)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val>
            <c:numRef>
              <c:f>'Activity 5'!$K$2:$K$77</c:f>
              <c:numCache>
                <c:formatCode>General</c:formatCode>
                <c:ptCount val="76"/>
                <c:pt idx="0">
                  <c:v>1.1988954038242546E-3</c:v>
                </c:pt>
                <c:pt idx="1">
                  <c:v>1.408206106125718E-3</c:v>
                </c:pt>
                <c:pt idx="2">
                  <c:v>1.6469193975941262E-3</c:v>
                </c:pt>
                <c:pt idx="3">
                  <c:v>1.9177838637145228E-3</c:v>
                </c:pt>
                <c:pt idx="4">
                  <c:v>2.2235565006432194E-3</c:v>
                </c:pt>
                <c:pt idx="5">
                  <c:v>2.5669527368728431E-3</c:v>
                </c:pt>
                <c:pt idx="6">
                  <c:v>2.9505893426887732E-3</c:v>
                </c:pt>
                <c:pt idx="7">
                  <c:v>3.3769206854640556E-3</c:v>
                </c:pt>
                <c:pt idx="8">
                  <c:v>3.8481690762574988E-3</c:v>
                </c:pt>
                <c:pt idx="9">
                  <c:v>4.3662502572724936E-3</c:v>
                </c:pt>
                <c:pt idx="10">
                  <c:v>4.9326953904100593E-3</c:v>
                </c:pt>
                <c:pt idx="11">
                  <c:v>5.5485712124897293E-3</c:v>
                </c:pt>
                <c:pt idx="12">
                  <c:v>6.2144003093420122E-3</c:v>
                </c:pt>
                <c:pt idx="13">
                  <c:v>6.9300837145135422E-3</c:v>
                </c:pt>
                <c:pt idx="14">
                  <c:v>7.6948282439755072E-3</c:v>
                </c:pt>
                <c:pt idx="15">
                  <c:v>8.5070811214634501E-3</c:v>
                </c:pt>
                <c:pt idx="16">
                  <c:v>9.364474516423138E-3</c:v>
                </c:pt>
                <c:pt idx="17">
                  <c:v>1.0263782596338575E-2</c:v>
                </c:pt>
                <c:pt idx="18">
                  <c:v>1.1200893578464988E-2</c:v>
                </c:pt>
                <c:pt idx="19">
                  <c:v>1.2170799047050818E-2</c:v>
                </c:pt>
                <c:pt idx="20">
                  <c:v>1.3167602479388682E-2</c:v>
                </c:pt>
                <c:pt idx="21">
                  <c:v>1.4184548500391664E-2</c:v>
                </c:pt>
                <c:pt idx="22">
                  <c:v>1.5214073868572819E-2</c:v>
                </c:pt>
                <c:pt idx="23">
                  <c:v>1.6247880598890707E-2</c:v>
                </c:pt>
                <c:pt idx="24">
                  <c:v>1.7277030967233542E-2</c:v>
                </c:pt>
                <c:pt idx="25">
                  <c:v>1.8292063438848594E-2</c:v>
                </c:pt>
                <c:pt idx="26">
                  <c:v>1.9283127843856579E-2</c:v>
                </c:pt>
                <c:pt idx="27">
                  <c:v>2.0240137414705539E-2</c:v>
                </c:pt>
                <c:pt idx="28">
                  <c:v>2.1152934632019615E-2</c:v>
                </c:pt>
                <c:pt idx="29">
                  <c:v>2.2011467225819148E-2</c:v>
                </c:pt>
                <c:pt idx="30">
                  <c:v>2.2805970176256518E-2</c:v>
                </c:pt>
                <c:pt idx="31">
                  <c:v>2.352714917674914E-2</c:v>
                </c:pt>
                <c:pt idx="32">
                  <c:v>2.416636078354345E-2</c:v>
                </c:pt>
                <c:pt idx="33">
                  <c:v>2.4715784394804985E-2</c:v>
                </c:pt>
                <c:pt idx="34">
                  <c:v>2.5168581288545211E-2</c:v>
                </c:pt>
                <c:pt idx="35">
                  <c:v>2.551903620429169E-2</c:v>
                </c:pt>
                <c:pt idx="36">
                  <c:v>2.5762677373343257E-2</c:v>
                </c:pt>
                <c:pt idx="37">
                  <c:v>2.5896371474352142E-2</c:v>
                </c:pt>
                <c:pt idx="38">
                  <c:v>2.5918390695623628E-2</c:v>
                </c:pt>
                <c:pt idx="39">
                  <c:v>2.5828449897579153E-2</c:v>
                </c:pt>
                <c:pt idx="40">
                  <c:v>2.5627712757961829E-2</c:v>
                </c:pt>
                <c:pt idx="41">
                  <c:v>2.5318766714638397E-2</c:v>
                </c:pt>
                <c:pt idx="42">
                  <c:v>2.490556746028183E-2</c:v>
                </c:pt>
                <c:pt idx="43">
                  <c:v>2.4393354653503119E-2</c:v>
                </c:pt>
                <c:pt idx="44">
                  <c:v>2.3788541357192994E-2</c:v>
                </c:pt>
                <c:pt idx="45">
                  <c:v>2.3098580465010676E-2</c:v>
                </c:pt>
                <c:pt idx="46">
                  <c:v>2.2331812003669071E-2</c:v>
                </c:pt>
                <c:pt idx="47">
                  <c:v>2.1497295680183992E-2</c:v>
                </c:pt>
                <c:pt idx="48">
                  <c:v>2.0604633364429414E-2</c:v>
                </c:pt>
                <c:pt idx="49">
                  <c:v>1.9663786350250012E-2</c:v>
                </c:pt>
                <c:pt idx="50">
                  <c:v>1.8684892222393112E-2</c:v>
                </c:pt>
                <c:pt idx="51">
                  <c:v>1.7678085978199753E-2</c:v>
                </c:pt>
                <c:pt idx="52">
                  <c:v>1.6653329725481614E-2</c:v>
                </c:pt>
                <c:pt idx="53">
                  <c:v>1.5620254820162938E-2</c:v>
                </c:pt>
                <c:pt idx="54">
                  <c:v>1.4588019742583946E-2</c:v>
                </c:pt>
                <c:pt idx="55">
                  <c:v>1.3565186366624071E-2</c:v>
                </c:pt>
                <c:pt idx="56">
                  <c:v>1.2559616579690402E-2</c:v>
                </c:pt>
                <c:pt idx="57">
                  <c:v>1.1578390493340973E-2</c:v>
                </c:pt>
                <c:pt idx="58">
                  <c:v>1.0627746772119084E-2</c:v>
                </c:pt>
                <c:pt idx="59">
                  <c:v>9.7130449282976095E-3</c:v>
                </c:pt>
                <c:pt idx="60">
                  <c:v>8.8387488056392849E-3</c:v>
                </c:pt>
                <c:pt idx="61">
                  <c:v>8.0084299250269275E-3</c:v>
                </c:pt>
                <c:pt idx="62">
                  <c:v>7.2247889033645318E-3</c:v>
                </c:pt>
                <c:pt idx="63">
                  <c:v>6.489692794160673E-3</c:v>
                </c:pt>
                <c:pt idx="64">
                  <c:v>5.8042259384213368E-3</c:v>
                </c:pt>
                <c:pt idx="65">
                  <c:v>5.1687517580434328E-3</c:v>
                </c:pt>
                <c:pt idx="66">
                  <c:v>4.5829828666630323E-3</c:v>
                </c:pt>
                <c:pt idx="67">
                  <c:v>4.0460569071225638E-3</c:v>
                </c:pt>
                <c:pt idx="68">
                  <c:v>3.5566156396612536E-3</c:v>
                </c:pt>
                <c:pt idx="69">
                  <c:v>3.1128849877549714E-3</c:v>
                </c:pt>
                <c:pt idx="70">
                  <c:v>2.7127539850149152E-3</c:v>
                </c:pt>
                <c:pt idx="71">
                  <c:v>2.3538508419364002E-3</c:v>
                </c:pt>
                <c:pt idx="72">
                  <c:v>2.0336146509388753E-3</c:v>
                </c:pt>
                <c:pt idx="73">
                  <c:v>1.7493615582299116E-3</c:v>
                </c:pt>
                <c:pt idx="74">
                  <c:v>1.4983445390147621E-3</c:v>
                </c:pt>
                <c:pt idx="75">
                  <c:v>1.2778062076235219E-3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529-47A7-ABC4-89EDE24C7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9932911"/>
        <c:axId val="1869933391"/>
      </c:lineChart>
      <c:catAx>
        <c:axId val="1869932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933391"/>
        <c:crosses val="autoZero"/>
        <c:auto val="1"/>
        <c:lblAlgn val="ctr"/>
        <c:lblOffset val="100"/>
        <c:noMultiLvlLbl val="0"/>
      </c:catAx>
      <c:valAx>
        <c:axId val="186993339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932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[1]Sheet1!$I$2:$I$19</c:f>
              <c:numCache>
                <c:formatCode>General</c:formatCode>
                <c:ptCount val="18"/>
                <c:pt idx="0">
                  <c:v>2E-3</c:v>
                </c:pt>
                <c:pt idx="1">
                  <c:v>8.9999999999999993E-3</c:v>
                </c:pt>
                <c:pt idx="2">
                  <c:v>1.2E-2</c:v>
                </c:pt>
                <c:pt idx="3">
                  <c:v>0</c:v>
                </c:pt>
                <c:pt idx="4">
                  <c:v>0.06</c:v>
                </c:pt>
                <c:pt idx="5">
                  <c:v>7.9000000000000001E-2</c:v>
                </c:pt>
                <c:pt idx="6">
                  <c:v>0.115</c:v>
                </c:pt>
                <c:pt idx="7">
                  <c:v>0.125</c:v>
                </c:pt>
                <c:pt idx="8">
                  <c:v>0.13800000000000001</c:v>
                </c:pt>
                <c:pt idx="9">
                  <c:v>0.11700000000000001</c:v>
                </c:pt>
                <c:pt idx="10">
                  <c:v>0.108</c:v>
                </c:pt>
                <c:pt idx="11">
                  <c:v>0.08</c:v>
                </c:pt>
                <c:pt idx="12">
                  <c:v>6.4000000000000001E-2</c:v>
                </c:pt>
                <c:pt idx="13">
                  <c:v>3.3000000000000002E-2</c:v>
                </c:pt>
                <c:pt idx="14">
                  <c:v>1.9E-2</c:v>
                </c:pt>
                <c:pt idx="15">
                  <c:v>8.9999999999999993E-3</c:v>
                </c:pt>
                <c:pt idx="16">
                  <c:v>8.0000000000000002E-3</c:v>
                </c:pt>
                <c:pt idx="17">
                  <c:v>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D1-4209-B1A7-46E313EEDF9B}"/>
            </c:ext>
          </c:extLst>
        </c:ser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[1]Sheet1!$J$2:$J$19</c:f>
              <c:numCache>
                <c:formatCode>General</c:formatCode>
                <c:ptCount val="18"/>
                <c:pt idx="0">
                  <c:v>4.4961981594844984E-3</c:v>
                </c:pt>
                <c:pt idx="1">
                  <c:v>1.0342689527913488E-2</c:v>
                </c:pt>
                <c:pt idx="2">
                  <c:v>2.1175608860427683E-2</c:v>
                </c:pt>
                <c:pt idx="3">
                  <c:v>3.8588396914370347E-2</c:v>
                </c:pt>
                <c:pt idx="4">
                  <c:v>6.2589200362943131E-2</c:v>
                </c:pt>
                <c:pt idx="5">
                  <c:v>9.0358017079628206E-2</c:v>
                </c:pt>
                <c:pt idx="6">
                  <c:v>0.11610762341152212</c:v>
                </c:pt>
                <c:pt idx="7">
                  <c:v>0.13279539030950072</c:v>
                </c:pt>
                <c:pt idx="8">
                  <c:v>0.13518679482415369</c:v>
                </c:pt>
                <c:pt idx="9">
                  <c:v>0.12249395450919021</c:v>
                </c:pt>
                <c:pt idx="10">
                  <c:v>9.8792408438818646E-2</c:v>
                </c:pt>
                <c:pt idx="11">
                  <c:v>7.0918536835063772E-2</c:v>
                </c:pt>
                <c:pt idx="12">
                  <c:v>4.5312842555312982E-2</c:v>
                </c:pt>
                <c:pt idx="13">
                  <c:v>2.5769477079406133E-2</c:v>
                </c:pt>
                <c:pt idx="14">
                  <c:v>1.3043959225801816E-2</c:v>
                </c:pt>
                <c:pt idx="15">
                  <c:v>5.8766379457175777E-3</c:v>
                </c:pt>
                <c:pt idx="16">
                  <c:v>2.3564577809240816E-3</c:v>
                </c:pt>
                <c:pt idx="17">
                  <c:v>8.4100116317653573E-4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D1-4209-B1A7-46E313EED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9599727"/>
        <c:axId val="1749597807"/>
      </c:lineChart>
      <c:catAx>
        <c:axId val="1749599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597807"/>
        <c:crosses val="autoZero"/>
        <c:auto val="1"/>
        <c:lblAlgn val="ctr"/>
        <c:lblOffset val="100"/>
        <c:noMultiLvlLbl val="0"/>
      </c:catAx>
      <c:valAx>
        <c:axId val="174959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599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PDF f(x)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 panose="02110004020202020204"/>
            </a:rPr>
            <a:t>PDF f(x)</a:t>
          </a:r>
        </a:p>
      </cx:txPr>
    </cx:title>
    <cx:plotArea>
      <cx:plotAreaRegion>
        <cx:series layoutId="clusteredColumn" uniqueId="{6BD17FE4-7D65-49D4-82E1-FB6895E4A90F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600" b="1" i="0" u="none" strike="noStrike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ptos Narrow" panose="02110004020202020204"/>
              </a:rPr>
              <a:t>CDF F(x)</a:t>
            </a:r>
          </a:p>
          <a:p>
            <a:pPr algn="ctr" rtl="0">
              <a:defRPr/>
            </a:pPr>
            <a:endPara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 panose="02110004020202020204"/>
            </a:endParaRPr>
          </a:p>
        </cx:rich>
      </cx:tx>
    </cx:title>
    <cx:plotArea>
      <cx:plotAreaRegion>
        <cx:series layoutId="clusteredColumn" uniqueId="{5AD885CA-153A-404A-AEB9-87227F257E8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125187</xdr:colOff>
      <xdr:row>1</xdr:row>
      <xdr:rowOff>14151</xdr:rowOff>
    </xdr:from>
    <xdr:to>
      <xdr:col>9</xdr:col>
      <xdr:colOff>163287</xdr:colOff>
      <xdr:row>11</xdr:row>
      <xdr:rowOff>14151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2D9275-6545-B649-ACFF-D5DA11920B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1</xdr:row>
      <xdr:rowOff>110490</xdr:rowOff>
    </xdr:from>
    <xdr:to>
      <xdr:col>12</xdr:col>
      <xdr:colOff>15240</xdr:colOff>
      <xdr:row>11</xdr:row>
      <xdr:rowOff>259080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848BD01-33A9-BEFD-BB20-03B5CAE0CA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22720" y="377190"/>
              <a:ext cx="7658100" cy="28155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60960</xdr:colOff>
      <xdr:row>12</xdr:row>
      <xdr:rowOff>26670</xdr:rowOff>
    </xdr:from>
    <xdr:to>
      <xdr:col>12</xdr:col>
      <xdr:colOff>53340</xdr:colOff>
      <xdr:row>22</xdr:row>
      <xdr:rowOff>102870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2698F8B9-F60C-0611-5ACB-B3DB1C56CE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53200" y="3227070"/>
              <a:ext cx="766572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19050</xdr:rowOff>
    </xdr:from>
    <xdr:to>
      <xdr:col>15</xdr:col>
      <xdr:colOff>0</xdr:colOff>
      <xdr:row>13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F608BA-8A1B-4E39-B3C0-730C82797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30480</xdr:colOff>
      <xdr:row>13</xdr:row>
      <xdr:rowOff>97971</xdr:rowOff>
    </xdr:from>
    <xdr:to>
      <xdr:col>15</xdr:col>
      <xdr:colOff>0</xdr:colOff>
      <xdr:row>27</xdr:row>
      <xdr:rowOff>250371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4503AE-250D-7837-9832-4767EEC9EA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243840</xdr:colOff>
      <xdr:row>1</xdr:row>
      <xdr:rowOff>220980</xdr:rowOff>
    </xdr:from>
    <xdr:to>
      <xdr:col>21</xdr:col>
      <xdr:colOff>419100</xdr:colOff>
      <xdr:row>17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F8ECB8-45D5-4F0B-8C87-079F71FE6C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68580</xdr:colOff>
      <xdr:row>3</xdr:row>
      <xdr:rowOff>106680</xdr:rowOff>
    </xdr:from>
    <xdr:to>
      <xdr:col>17</xdr:col>
      <xdr:colOff>373380</xdr:colOff>
      <xdr:row>18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4723F9-5742-4231-9281-019744F45C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ya\AppData\Local\Microsoft\Windows\INetCache\IE\F6A9HGNK\Activity-6(New)%5b1%5d.xlsx" TargetMode="External"/><Relationship Id="rId1" Type="http://schemas.openxmlformats.org/officeDocument/2006/relationships/externalLinkPath" Target="file:///C:\Users\shaya\AppData\Local\Microsoft\Windows\INetCache\IE\F6A9HGNK\Activity-6(New)%5b1%5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I2">
            <v>2E-3</v>
          </cell>
          <cell r="J2">
            <v>4.4961981594844984E-3</v>
          </cell>
        </row>
        <row r="3">
          <cell r="I3">
            <v>8.9999999999999993E-3</v>
          </cell>
          <cell r="J3">
            <v>1.0342689527913488E-2</v>
          </cell>
        </row>
        <row r="4">
          <cell r="I4">
            <v>1.2E-2</v>
          </cell>
          <cell r="J4">
            <v>2.1175608860427683E-2</v>
          </cell>
        </row>
        <row r="5">
          <cell r="I5">
            <v>0</v>
          </cell>
          <cell r="J5">
            <v>3.8588396914370347E-2</v>
          </cell>
        </row>
        <row r="6">
          <cell r="I6">
            <v>0.06</v>
          </cell>
          <cell r="J6">
            <v>6.2589200362943131E-2</v>
          </cell>
        </row>
        <row r="7">
          <cell r="I7">
            <v>7.9000000000000001E-2</v>
          </cell>
          <cell r="J7">
            <v>9.0358017079628206E-2</v>
          </cell>
        </row>
        <row r="8">
          <cell r="I8">
            <v>0.115</v>
          </cell>
          <cell r="J8">
            <v>0.11610762341152212</v>
          </cell>
        </row>
        <row r="9">
          <cell r="I9">
            <v>0.125</v>
          </cell>
          <cell r="J9">
            <v>0.13279539030950072</v>
          </cell>
        </row>
        <row r="10">
          <cell r="I10">
            <v>0.13800000000000001</v>
          </cell>
          <cell r="J10">
            <v>0.13518679482415369</v>
          </cell>
        </row>
        <row r="11">
          <cell r="I11">
            <v>0.11700000000000001</v>
          </cell>
          <cell r="J11">
            <v>0.12249395450919021</v>
          </cell>
        </row>
        <row r="12">
          <cell r="I12">
            <v>0.108</v>
          </cell>
          <cell r="J12">
            <v>9.8792408438818646E-2</v>
          </cell>
        </row>
        <row r="13">
          <cell r="I13">
            <v>0.08</v>
          </cell>
          <cell r="J13">
            <v>7.0918536835063772E-2</v>
          </cell>
        </row>
        <row r="14">
          <cell r="I14">
            <v>6.4000000000000001E-2</v>
          </cell>
          <cell r="J14">
            <v>4.5312842555312982E-2</v>
          </cell>
        </row>
        <row r="15">
          <cell r="I15">
            <v>3.3000000000000002E-2</v>
          </cell>
          <cell r="J15">
            <v>2.5769477079406133E-2</v>
          </cell>
        </row>
        <row r="16">
          <cell r="I16">
            <v>1.9E-2</v>
          </cell>
          <cell r="J16">
            <v>1.3043959225801816E-2</v>
          </cell>
        </row>
        <row r="17">
          <cell r="I17">
            <v>8.9999999999999993E-3</v>
          </cell>
          <cell r="J17">
            <v>5.8766379457175777E-3</v>
          </cell>
        </row>
        <row r="18">
          <cell r="I18">
            <v>8.0000000000000002E-3</v>
          </cell>
          <cell r="J18">
            <v>2.3564577809240816E-3</v>
          </cell>
        </row>
        <row r="19">
          <cell r="I19">
            <v>1E-3</v>
          </cell>
          <cell r="J19">
            <v>8.4100116317653573E-4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0FC24-7495-4439-96D4-72B7D3E7639E}">
  <dimension ref="B1:D32"/>
  <sheetViews>
    <sheetView workbookViewId="0">
      <selection activeCell="H4" sqref="H4"/>
    </sheetView>
  </sheetViews>
  <sheetFormatPr defaultRowHeight="15.6" x14ac:dyDescent="0.3"/>
  <cols>
    <col min="1" max="1" width="8.88671875" style="1"/>
    <col min="2" max="2" width="36.21875" style="1" customWidth="1"/>
    <col min="3" max="3" width="34.33203125" style="1" customWidth="1"/>
    <col min="4" max="4" width="28.33203125" style="1" customWidth="1"/>
    <col min="5" max="16384" width="8.88671875" style="1"/>
  </cols>
  <sheetData>
    <row r="1" spans="2:4" x14ac:dyDescent="0.3">
      <c r="B1" s="22" t="s">
        <v>20</v>
      </c>
      <c r="C1" s="21" t="s">
        <v>16</v>
      </c>
    </row>
    <row r="2" spans="2:4" x14ac:dyDescent="0.3">
      <c r="B2" s="23">
        <v>98</v>
      </c>
      <c r="C2" s="21" t="s">
        <v>17</v>
      </c>
    </row>
    <row r="3" spans="2:4" ht="16.2" x14ac:dyDescent="0.3">
      <c r="B3" s="23">
        <v>76</v>
      </c>
      <c r="C3" s="70" t="s">
        <v>61</v>
      </c>
      <c r="D3" s="70"/>
    </row>
    <row r="4" spans="2:4" x14ac:dyDescent="0.3">
      <c r="B4" s="23">
        <v>62</v>
      </c>
      <c r="C4" s="24"/>
      <c r="D4" s="24"/>
    </row>
    <row r="5" spans="2:4" x14ac:dyDescent="0.3">
      <c r="B5" s="23">
        <v>87</v>
      </c>
      <c r="C5" s="24" t="s">
        <v>0</v>
      </c>
      <c r="D5" s="24">
        <v>58.766666666666666</v>
      </c>
    </row>
    <row r="6" spans="2:4" x14ac:dyDescent="0.3">
      <c r="B6" s="23">
        <v>23</v>
      </c>
      <c r="C6" s="24" t="s">
        <v>1</v>
      </c>
      <c r="D6" s="24">
        <v>4.7330297781892368</v>
      </c>
    </row>
    <row r="7" spans="2:4" x14ac:dyDescent="0.3">
      <c r="B7" s="23">
        <v>49</v>
      </c>
      <c r="C7" s="24" t="s">
        <v>2</v>
      </c>
      <c r="D7" s="24">
        <v>64</v>
      </c>
    </row>
    <row r="8" spans="2:4" x14ac:dyDescent="0.3">
      <c r="B8" s="23">
        <v>99</v>
      </c>
      <c r="C8" s="24" t="s">
        <v>3</v>
      </c>
      <c r="D8" s="24">
        <v>87</v>
      </c>
    </row>
    <row r="9" spans="2:4" x14ac:dyDescent="0.3">
      <c r="B9" s="23">
        <v>29</v>
      </c>
      <c r="C9" s="24" t="s">
        <v>4</v>
      </c>
      <c r="D9" s="24">
        <v>25.923871748579177</v>
      </c>
    </row>
    <row r="10" spans="2:4" x14ac:dyDescent="0.3">
      <c r="B10" s="23">
        <v>70</v>
      </c>
      <c r="C10" s="24" t="s">
        <v>5</v>
      </c>
      <c r="D10" s="24">
        <v>672.0471264367817</v>
      </c>
    </row>
    <row r="11" spans="2:4" x14ac:dyDescent="0.3">
      <c r="B11" s="23">
        <v>83</v>
      </c>
      <c r="C11" s="24" t="s">
        <v>6</v>
      </c>
      <c r="D11" s="24">
        <v>-1.1203086030382337</v>
      </c>
    </row>
    <row r="12" spans="2:4" x14ac:dyDescent="0.3">
      <c r="B12" s="23">
        <v>87</v>
      </c>
      <c r="C12" s="24" t="s">
        <v>7</v>
      </c>
      <c r="D12" s="24">
        <v>-0.27119947712276504</v>
      </c>
    </row>
    <row r="13" spans="2:4" x14ac:dyDescent="0.3">
      <c r="B13" s="23">
        <v>23</v>
      </c>
      <c r="C13" s="24" t="s">
        <v>8</v>
      </c>
      <c r="D13" s="24">
        <v>87</v>
      </c>
    </row>
    <row r="14" spans="2:4" x14ac:dyDescent="0.3">
      <c r="B14" s="23">
        <v>32</v>
      </c>
      <c r="C14" s="24" t="s">
        <v>9</v>
      </c>
      <c r="D14" s="24">
        <v>12</v>
      </c>
    </row>
    <row r="15" spans="2:4" x14ac:dyDescent="0.3">
      <c r="B15" s="23">
        <v>52</v>
      </c>
      <c r="C15" s="24" t="s">
        <v>10</v>
      </c>
      <c r="D15" s="24">
        <v>99</v>
      </c>
    </row>
    <row r="16" spans="2:4" x14ac:dyDescent="0.3">
      <c r="B16" s="23">
        <v>67</v>
      </c>
      <c r="C16" s="24" t="s">
        <v>11</v>
      </c>
      <c r="D16" s="24">
        <v>1763</v>
      </c>
    </row>
    <row r="17" spans="2:4" x14ac:dyDescent="0.3">
      <c r="B17" s="23">
        <v>66</v>
      </c>
      <c r="C17" s="24" t="s">
        <v>12</v>
      </c>
      <c r="D17" s="24">
        <v>30</v>
      </c>
    </row>
    <row r="18" spans="2:4" x14ac:dyDescent="0.3">
      <c r="B18" s="23">
        <v>12</v>
      </c>
      <c r="C18" s="24" t="s">
        <v>13</v>
      </c>
      <c r="D18" s="24">
        <v>99</v>
      </c>
    </row>
    <row r="19" spans="2:4" x14ac:dyDescent="0.3">
      <c r="B19" s="23">
        <v>21</v>
      </c>
      <c r="C19" s="24" t="s">
        <v>14</v>
      </c>
      <c r="D19" s="24">
        <v>12</v>
      </c>
    </row>
    <row r="20" spans="2:4" x14ac:dyDescent="0.3">
      <c r="B20" s="23">
        <v>61</v>
      </c>
      <c r="C20" s="24" t="s">
        <v>15</v>
      </c>
      <c r="D20" s="24">
        <v>9.6801327994494013</v>
      </c>
    </row>
    <row r="21" spans="2:4" x14ac:dyDescent="0.3">
      <c r="B21" s="23">
        <v>75</v>
      </c>
    </row>
    <row r="22" spans="2:4" x14ac:dyDescent="0.3">
      <c r="B22" s="23">
        <v>32</v>
      </c>
    </row>
    <row r="23" spans="2:4" x14ac:dyDescent="0.3">
      <c r="B23" s="23">
        <v>74</v>
      </c>
    </row>
    <row r="24" spans="2:4" x14ac:dyDescent="0.3">
      <c r="B24" s="23">
        <v>84</v>
      </c>
    </row>
    <row r="25" spans="2:4" x14ac:dyDescent="0.3">
      <c r="B25" s="23">
        <v>46</v>
      </c>
    </row>
    <row r="26" spans="2:4" x14ac:dyDescent="0.3">
      <c r="B26" s="23">
        <v>48</v>
      </c>
    </row>
    <row r="27" spans="2:4" x14ac:dyDescent="0.3">
      <c r="B27" s="23">
        <v>81</v>
      </c>
    </row>
    <row r="28" spans="2:4" x14ac:dyDescent="0.3">
      <c r="B28" s="23">
        <v>96</v>
      </c>
    </row>
    <row r="29" spans="2:4" x14ac:dyDescent="0.3">
      <c r="B29" s="23">
        <v>94</v>
      </c>
    </row>
    <row r="30" spans="2:4" x14ac:dyDescent="0.3">
      <c r="B30" s="23">
        <v>48</v>
      </c>
    </row>
    <row r="31" spans="2:4" x14ac:dyDescent="0.3">
      <c r="B31" s="23">
        <v>69</v>
      </c>
    </row>
    <row r="32" spans="2:4" x14ac:dyDescent="0.3">
      <c r="B32" s="23">
        <v>17</v>
      </c>
    </row>
  </sheetData>
  <mergeCells count="1">
    <mergeCell ref="C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BFEF5-F2AA-4EB1-82A4-7B55814A91F1}">
  <dimension ref="A1:K55"/>
  <sheetViews>
    <sheetView zoomScale="70" zoomScaleNormal="70" workbookViewId="0">
      <selection activeCell="F21" sqref="F21"/>
    </sheetView>
  </sheetViews>
  <sheetFormatPr defaultColWidth="41.21875" defaultRowHeight="17.399999999999999" x14ac:dyDescent="0.3"/>
  <cols>
    <col min="1" max="1" width="53.88671875" style="5" customWidth="1"/>
    <col min="2" max="2" width="48.109375" style="5" customWidth="1"/>
    <col min="3" max="3" width="17.33203125" style="5" customWidth="1"/>
    <col min="4" max="4" width="15" style="5" customWidth="1"/>
    <col min="5" max="5" width="19.109375" style="5" customWidth="1"/>
    <col min="6" max="6" width="16.33203125" style="5" customWidth="1"/>
    <col min="7" max="7" width="33" style="5" customWidth="1"/>
    <col min="8" max="16384" width="41.21875" style="5"/>
  </cols>
  <sheetData>
    <row r="1" spans="1:11" x14ac:dyDescent="0.3">
      <c r="A1" s="16" t="s">
        <v>18</v>
      </c>
      <c r="B1" s="17" t="s">
        <v>19</v>
      </c>
    </row>
    <row r="2" spans="1:11" x14ac:dyDescent="0.3">
      <c r="A2" s="18">
        <v>16</v>
      </c>
      <c r="B2" s="19">
        <v>14</v>
      </c>
      <c r="C2" s="3" t="s">
        <v>21</v>
      </c>
      <c r="D2" s="3"/>
      <c r="E2" s="3"/>
      <c r="F2" s="3"/>
      <c r="G2" s="3"/>
      <c r="H2" s="3"/>
      <c r="I2" s="3"/>
      <c r="J2" s="3"/>
      <c r="K2" s="3"/>
    </row>
    <row r="3" spans="1:11" ht="18" thickBot="1" x14ac:dyDescent="0.35">
      <c r="A3" s="18">
        <v>23</v>
      </c>
      <c r="B3" s="18">
        <v>30</v>
      </c>
      <c r="C3" s="3"/>
      <c r="D3" s="3"/>
      <c r="E3" s="3"/>
      <c r="F3" s="3"/>
      <c r="G3" s="3"/>
      <c r="H3" s="3"/>
      <c r="I3" s="3"/>
      <c r="J3" s="3"/>
      <c r="K3" s="3"/>
    </row>
    <row r="4" spans="1:11" x14ac:dyDescent="0.3">
      <c r="A4" s="18">
        <v>29</v>
      </c>
      <c r="B4" s="18">
        <v>16</v>
      </c>
      <c r="C4" s="2" t="s">
        <v>22</v>
      </c>
      <c r="D4" s="2"/>
      <c r="E4" s="3"/>
      <c r="F4" s="3"/>
      <c r="G4" s="3"/>
      <c r="H4" s="3"/>
      <c r="I4" s="3"/>
      <c r="J4" s="3"/>
      <c r="K4" s="3"/>
    </row>
    <row r="5" spans="1:11" x14ac:dyDescent="0.3">
      <c r="A5" s="18">
        <v>32</v>
      </c>
      <c r="B5" s="18">
        <v>27</v>
      </c>
      <c r="C5" s="3" t="s">
        <v>23</v>
      </c>
      <c r="D5" s="3">
        <v>0.21485710607549152</v>
      </c>
      <c r="E5" s="3"/>
      <c r="F5" s="3"/>
      <c r="G5" s="3"/>
      <c r="H5" s="3"/>
      <c r="I5" s="3"/>
      <c r="J5" s="3"/>
      <c r="K5" s="3"/>
    </row>
    <row r="6" spans="1:11" x14ac:dyDescent="0.3">
      <c r="A6" s="18">
        <v>16</v>
      </c>
      <c r="B6" s="18">
        <v>14</v>
      </c>
      <c r="C6" s="3" t="s">
        <v>24</v>
      </c>
      <c r="D6" s="3">
        <v>4.6163576031135016E-2</v>
      </c>
      <c r="E6" s="3"/>
      <c r="F6" s="3"/>
      <c r="G6" s="3"/>
      <c r="H6" s="3"/>
      <c r="I6" s="3"/>
      <c r="J6" s="3"/>
      <c r="K6" s="3"/>
    </row>
    <row r="7" spans="1:11" x14ac:dyDescent="0.3">
      <c r="A7" s="18">
        <v>24</v>
      </c>
      <c r="B7" s="18">
        <v>32</v>
      </c>
      <c r="C7" s="3" t="s">
        <v>25</v>
      </c>
      <c r="D7" s="3">
        <v>1.2097989460818406E-2</v>
      </c>
      <c r="E7" s="3"/>
      <c r="F7" s="3"/>
      <c r="G7" s="3"/>
      <c r="H7" s="3"/>
      <c r="I7" s="3"/>
      <c r="J7" s="3"/>
      <c r="K7" s="3"/>
    </row>
    <row r="8" spans="1:11" x14ac:dyDescent="0.3">
      <c r="A8" s="18">
        <v>17</v>
      </c>
      <c r="B8" s="18">
        <v>13</v>
      </c>
      <c r="C8" s="3" t="s">
        <v>1</v>
      </c>
      <c r="D8" s="3">
        <v>6.0243124431309978</v>
      </c>
      <c r="E8" s="3"/>
      <c r="F8" s="3"/>
      <c r="G8" s="3"/>
      <c r="H8" s="3"/>
      <c r="I8" s="3"/>
      <c r="J8" s="3"/>
      <c r="K8" s="3"/>
    </row>
    <row r="9" spans="1:11" ht="18" thickBot="1" x14ac:dyDescent="0.35">
      <c r="A9" s="18">
        <v>29</v>
      </c>
      <c r="B9" s="18">
        <v>32</v>
      </c>
      <c r="C9" s="4" t="s">
        <v>26</v>
      </c>
      <c r="D9" s="4">
        <v>30</v>
      </c>
      <c r="E9" s="3"/>
      <c r="F9" s="3"/>
      <c r="G9" s="3"/>
      <c r="H9" s="3"/>
      <c r="I9" s="3"/>
      <c r="J9" s="3"/>
      <c r="K9" s="3"/>
    </row>
    <row r="10" spans="1:11" x14ac:dyDescent="0.3">
      <c r="A10" s="18">
        <v>19</v>
      </c>
      <c r="B10" s="18">
        <v>23</v>
      </c>
      <c r="C10" s="3"/>
      <c r="D10" s="3"/>
      <c r="E10" s="3"/>
      <c r="F10" s="3"/>
      <c r="G10" s="3"/>
      <c r="H10" s="3"/>
      <c r="I10" s="3"/>
      <c r="J10" s="3"/>
      <c r="K10" s="3"/>
    </row>
    <row r="11" spans="1:11" ht="18" thickBot="1" x14ac:dyDescent="0.35">
      <c r="A11" s="18">
        <v>31</v>
      </c>
      <c r="B11" s="18">
        <v>22</v>
      </c>
      <c r="C11" s="3" t="s">
        <v>27</v>
      </c>
      <c r="D11" s="3"/>
      <c r="E11" s="3"/>
      <c r="F11" s="3"/>
      <c r="G11" s="3"/>
      <c r="H11" s="3"/>
      <c r="I11" s="3"/>
      <c r="J11" s="3"/>
      <c r="K11" s="3"/>
    </row>
    <row r="12" spans="1:11" x14ac:dyDescent="0.3">
      <c r="A12" s="18">
        <v>28</v>
      </c>
      <c r="B12" s="18">
        <v>32</v>
      </c>
      <c r="C12" s="6"/>
      <c r="D12" s="6" t="s">
        <v>32</v>
      </c>
      <c r="E12" s="6" t="s">
        <v>33</v>
      </c>
      <c r="F12" s="6" t="s">
        <v>34</v>
      </c>
      <c r="G12" s="6" t="s">
        <v>35</v>
      </c>
      <c r="H12" s="6" t="s">
        <v>36</v>
      </c>
      <c r="I12" s="3"/>
      <c r="J12" s="3"/>
      <c r="K12" s="3"/>
    </row>
    <row r="13" spans="1:11" x14ac:dyDescent="0.3">
      <c r="A13" s="18">
        <v>26</v>
      </c>
      <c r="B13" s="18">
        <v>19</v>
      </c>
      <c r="C13" s="3" t="s">
        <v>28</v>
      </c>
      <c r="D13" s="3">
        <v>1</v>
      </c>
      <c r="E13" s="3">
        <v>49.181135117703548</v>
      </c>
      <c r="F13" s="3">
        <v>49.181135117703548</v>
      </c>
      <c r="G13" s="3">
        <v>1.3551381519835657</v>
      </c>
      <c r="H13" s="3">
        <v>0.25420545395290622</v>
      </c>
      <c r="I13" s="3"/>
      <c r="J13" s="3"/>
      <c r="K13" s="3"/>
    </row>
    <row r="14" spans="1:11" x14ac:dyDescent="0.3">
      <c r="A14" s="18">
        <v>31</v>
      </c>
      <c r="B14" s="18">
        <v>24</v>
      </c>
      <c r="C14" s="3" t="s">
        <v>29</v>
      </c>
      <c r="D14" s="3">
        <v>28</v>
      </c>
      <c r="E14" s="3">
        <v>1016.1855315489632</v>
      </c>
      <c r="F14" s="3">
        <v>36.29234041246297</v>
      </c>
      <c r="G14" s="3"/>
      <c r="H14" s="3"/>
      <c r="I14" s="3"/>
      <c r="J14" s="3"/>
      <c r="K14" s="3"/>
    </row>
    <row r="15" spans="1:11" ht="18" thickBot="1" x14ac:dyDescent="0.35">
      <c r="A15" s="18">
        <v>24</v>
      </c>
      <c r="B15" s="18">
        <v>18</v>
      </c>
      <c r="C15" s="4" t="s">
        <v>30</v>
      </c>
      <c r="D15" s="4">
        <v>29</v>
      </c>
      <c r="E15" s="4">
        <v>1065.3666666666668</v>
      </c>
      <c r="F15" s="4"/>
      <c r="G15" s="4"/>
      <c r="H15" s="4"/>
      <c r="I15" s="3"/>
      <c r="J15" s="3"/>
      <c r="K15" s="3"/>
    </row>
    <row r="16" spans="1:11" ht="18" thickBot="1" x14ac:dyDescent="0.35">
      <c r="A16" s="18">
        <v>22</v>
      </c>
      <c r="B16" s="18">
        <v>31</v>
      </c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3">
      <c r="A17" s="18">
        <v>12</v>
      </c>
      <c r="B17" s="18">
        <v>17</v>
      </c>
      <c r="C17" s="6"/>
      <c r="D17" s="6" t="s">
        <v>37</v>
      </c>
      <c r="E17" s="6" t="s">
        <v>1</v>
      </c>
      <c r="F17" s="6" t="s">
        <v>38</v>
      </c>
      <c r="G17" s="6" t="s">
        <v>39</v>
      </c>
      <c r="H17" s="6" t="s">
        <v>40</v>
      </c>
      <c r="I17" s="6" t="s">
        <v>41</v>
      </c>
      <c r="J17" s="6" t="s">
        <v>42</v>
      </c>
      <c r="K17" s="6" t="s">
        <v>43</v>
      </c>
    </row>
    <row r="18" spans="1:11" x14ac:dyDescent="0.3">
      <c r="A18" s="18">
        <v>25</v>
      </c>
      <c r="B18" s="18">
        <v>13</v>
      </c>
      <c r="C18" s="3" t="s">
        <v>31</v>
      </c>
      <c r="D18" s="3">
        <v>15.979468988498335</v>
      </c>
      <c r="E18" s="3">
        <v>4.9239829891264923</v>
      </c>
      <c r="F18" s="3">
        <v>3.245232370579954</v>
      </c>
      <c r="G18" s="3">
        <v>3.0360426912422224E-3</v>
      </c>
      <c r="H18" s="3">
        <v>5.8931470674933326</v>
      </c>
      <c r="I18" s="3">
        <v>26.065790909503335</v>
      </c>
      <c r="J18" s="3">
        <v>5.8931470674933326</v>
      </c>
      <c r="K18" s="3">
        <v>26.065790909503335</v>
      </c>
    </row>
    <row r="19" spans="1:11" ht="18" thickBot="1" x14ac:dyDescent="0.35">
      <c r="A19" s="18">
        <v>23</v>
      </c>
      <c r="B19" s="18">
        <v>21</v>
      </c>
      <c r="C19" s="4">
        <v>16</v>
      </c>
      <c r="D19" s="4">
        <v>0.22992583037729761</v>
      </c>
      <c r="E19" s="4">
        <v>0.19751313276380045</v>
      </c>
      <c r="F19" s="4">
        <v>1.1641040125279085</v>
      </c>
      <c r="G19" s="4">
        <v>0.25420545395290356</v>
      </c>
      <c r="H19" s="4">
        <v>-0.17466148137442353</v>
      </c>
      <c r="I19" s="4">
        <v>0.63451314212901877</v>
      </c>
      <c r="J19" s="4">
        <v>-0.17466148137442353</v>
      </c>
      <c r="K19" s="4">
        <v>0.63451314212901877</v>
      </c>
    </row>
    <row r="20" spans="1:11" x14ac:dyDescent="0.3">
      <c r="A20" s="18">
        <v>17</v>
      </c>
      <c r="B20" s="18">
        <v>21</v>
      </c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3">
      <c r="A21" s="18">
        <v>25</v>
      </c>
      <c r="B21" s="18">
        <v>12</v>
      </c>
      <c r="C21" s="20" t="s">
        <v>60</v>
      </c>
      <c r="D21" s="20" t="s">
        <v>58</v>
      </c>
      <c r="E21" s="3"/>
      <c r="F21" s="3"/>
      <c r="G21" s="3"/>
      <c r="H21" s="3"/>
      <c r="I21" s="3"/>
      <c r="J21" s="3"/>
      <c r="K21" s="3"/>
    </row>
    <row r="22" spans="1:11" x14ac:dyDescent="0.3">
      <c r="A22" s="18">
        <v>31</v>
      </c>
      <c r="B22" s="18">
        <v>18</v>
      </c>
      <c r="C22" s="3"/>
      <c r="D22" s="3"/>
      <c r="E22" s="3"/>
      <c r="F22" s="3"/>
      <c r="G22" s="3"/>
      <c r="H22" s="3"/>
      <c r="I22" s="3"/>
      <c r="J22" s="3"/>
      <c r="K22" s="3"/>
    </row>
    <row r="23" spans="1:11" x14ac:dyDescent="0.3">
      <c r="A23" s="18">
        <v>31</v>
      </c>
      <c r="B23" s="18">
        <v>21</v>
      </c>
      <c r="C23" s="3" t="s">
        <v>44</v>
      </c>
      <c r="D23" s="3"/>
      <c r="E23" s="3"/>
      <c r="F23" s="3"/>
      <c r="G23" s="3"/>
      <c r="H23" s="3"/>
      <c r="I23" s="3"/>
      <c r="J23" s="3"/>
      <c r="K23" s="3"/>
    </row>
    <row r="24" spans="1:11" ht="18" thickBot="1" x14ac:dyDescent="0.35">
      <c r="A24" s="18">
        <v>24</v>
      </c>
      <c r="B24" s="18">
        <v>19</v>
      </c>
      <c r="C24" s="3"/>
      <c r="D24" s="3"/>
      <c r="E24" s="3"/>
      <c r="F24" s="3"/>
      <c r="G24" s="3"/>
      <c r="H24" s="3"/>
      <c r="I24" s="3"/>
      <c r="J24" s="3"/>
      <c r="K24" s="3"/>
    </row>
    <row r="25" spans="1:11" x14ac:dyDescent="0.3">
      <c r="A25" s="18">
        <v>31</v>
      </c>
      <c r="B25" s="18">
        <v>18</v>
      </c>
      <c r="C25" s="6" t="s">
        <v>45</v>
      </c>
      <c r="D25" s="6" t="s">
        <v>46</v>
      </c>
      <c r="E25" s="6" t="s">
        <v>47</v>
      </c>
      <c r="F25" s="3"/>
      <c r="G25" s="3"/>
      <c r="H25" s="3"/>
      <c r="I25" s="3"/>
      <c r="J25" s="3"/>
      <c r="K25" s="3"/>
    </row>
    <row r="26" spans="1:11" x14ac:dyDescent="0.3">
      <c r="A26" s="18">
        <v>12</v>
      </c>
      <c r="B26" s="18">
        <v>19</v>
      </c>
      <c r="C26" s="3">
        <v>1</v>
      </c>
      <c r="D26" s="3">
        <v>21.267763087176178</v>
      </c>
      <c r="E26" s="3">
        <v>8.7322369128238222</v>
      </c>
      <c r="F26" s="3"/>
      <c r="G26" s="3"/>
      <c r="H26" s="3"/>
      <c r="I26" s="3"/>
      <c r="J26" s="3"/>
      <c r="K26" s="3"/>
    </row>
    <row r="27" spans="1:11" x14ac:dyDescent="0.3">
      <c r="A27" s="18">
        <v>29</v>
      </c>
      <c r="B27" s="18">
        <v>18</v>
      </c>
      <c r="C27" s="3">
        <v>2</v>
      </c>
      <c r="D27" s="3">
        <v>22.647318069439965</v>
      </c>
      <c r="E27" s="3">
        <v>-6.6473180694399652</v>
      </c>
      <c r="F27" s="3"/>
      <c r="G27" s="3"/>
      <c r="H27" s="3"/>
      <c r="I27" s="3"/>
      <c r="J27" s="3"/>
      <c r="K27" s="3"/>
    </row>
    <row r="28" spans="1:11" x14ac:dyDescent="0.3">
      <c r="A28" s="18">
        <v>29</v>
      </c>
      <c r="B28" s="18">
        <v>27</v>
      </c>
      <c r="C28" s="3">
        <v>3</v>
      </c>
      <c r="D28" s="3">
        <v>23.337095560571857</v>
      </c>
      <c r="E28" s="3">
        <v>3.6629044394281429</v>
      </c>
      <c r="F28" s="3"/>
      <c r="G28" s="3"/>
      <c r="H28" s="3"/>
      <c r="I28" s="3"/>
      <c r="J28" s="3"/>
      <c r="K28" s="3"/>
    </row>
    <row r="29" spans="1:11" x14ac:dyDescent="0.3">
      <c r="A29" s="18">
        <v>23</v>
      </c>
      <c r="B29" s="18">
        <v>23</v>
      </c>
      <c r="C29" s="3">
        <v>4</v>
      </c>
      <c r="D29" s="3">
        <v>19.658282274535097</v>
      </c>
      <c r="E29" s="3">
        <v>-5.6582822745350967</v>
      </c>
      <c r="F29" s="3"/>
      <c r="G29" s="3"/>
      <c r="H29" s="3"/>
      <c r="I29" s="3"/>
      <c r="J29" s="3"/>
      <c r="K29" s="3"/>
    </row>
    <row r="30" spans="1:11" x14ac:dyDescent="0.3">
      <c r="A30" s="18">
        <v>22</v>
      </c>
      <c r="B30" s="18">
        <v>28</v>
      </c>
      <c r="C30" s="3">
        <v>5</v>
      </c>
      <c r="D30" s="3">
        <v>21.497688917553475</v>
      </c>
      <c r="E30" s="3">
        <v>10.502311082446525</v>
      </c>
      <c r="F30" s="3"/>
      <c r="G30" s="3"/>
      <c r="H30" s="3"/>
      <c r="I30" s="3"/>
      <c r="J30" s="3"/>
      <c r="K30" s="3"/>
    </row>
    <row r="31" spans="1:11" x14ac:dyDescent="0.3">
      <c r="A31" s="18">
        <v>24</v>
      </c>
      <c r="B31" s="18">
        <v>15</v>
      </c>
      <c r="C31" s="3">
        <v>6</v>
      </c>
      <c r="D31" s="3">
        <v>19.888208104912394</v>
      </c>
      <c r="E31" s="3">
        <v>-6.888208104912394</v>
      </c>
      <c r="F31" s="3"/>
      <c r="G31" s="3"/>
      <c r="H31" s="3"/>
      <c r="I31" s="3"/>
      <c r="J31" s="3"/>
      <c r="K31" s="3"/>
    </row>
    <row r="32" spans="1:11" x14ac:dyDescent="0.3">
      <c r="A32" s="18">
        <v>20</v>
      </c>
      <c r="B32" s="18">
        <v>24</v>
      </c>
      <c r="C32" s="3">
        <v>7</v>
      </c>
      <c r="D32" s="3">
        <v>22.647318069439965</v>
      </c>
      <c r="E32" s="3">
        <v>9.3526819305600348</v>
      </c>
      <c r="F32" s="3"/>
      <c r="G32" s="3"/>
      <c r="H32" s="3"/>
      <c r="I32" s="3"/>
      <c r="J32" s="3"/>
      <c r="K32" s="3"/>
    </row>
    <row r="33" spans="3:11" x14ac:dyDescent="0.3">
      <c r="C33" s="3">
        <v>8</v>
      </c>
      <c r="D33" s="3">
        <v>20.348059765666989</v>
      </c>
      <c r="E33" s="3">
        <v>2.6519402343330114</v>
      </c>
      <c r="F33" s="3"/>
      <c r="G33" s="3"/>
      <c r="H33" s="3"/>
      <c r="I33" s="3"/>
      <c r="J33" s="3"/>
      <c r="K33" s="3"/>
    </row>
    <row r="34" spans="3:11" x14ac:dyDescent="0.3">
      <c r="C34" s="3">
        <v>9</v>
      </c>
      <c r="D34" s="3">
        <v>23.10716973019456</v>
      </c>
      <c r="E34" s="3">
        <v>-1.1071697301945598</v>
      </c>
      <c r="F34" s="3"/>
      <c r="G34" s="3"/>
      <c r="H34" s="3"/>
      <c r="I34" s="3"/>
      <c r="J34" s="3"/>
      <c r="K34" s="3"/>
    </row>
    <row r="35" spans="3:11" x14ac:dyDescent="0.3">
      <c r="C35" s="3">
        <v>10</v>
      </c>
      <c r="D35" s="3">
        <v>22.417392239062668</v>
      </c>
      <c r="E35" s="3">
        <v>9.5826077609373321</v>
      </c>
      <c r="F35" s="3"/>
      <c r="G35" s="3"/>
      <c r="H35" s="3"/>
      <c r="I35" s="3"/>
      <c r="J35" s="3"/>
      <c r="K35" s="3"/>
    </row>
    <row r="36" spans="3:11" x14ac:dyDescent="0.3">
      <c r="C36" s="3">
        <v>11</v>
      </c>
      <c r="D36" s="3">
        <v>21.957540578308073</v>
      </c>
      <c r="E36" s="3">
        <v>-2.9575405783080733</v>
      </c>
      <c r="F36" s="3"/>
      <c r="G36" s="3"/>
      <c r="H36" s="3"/>
      <c r="I36" s="3"/>
      <c r="J36" s="3"/>
      <c r="K36" s="3"/>
    </row>
    <row r="37" spans="3:11" x14ac:dyDescent="0.3">
      <c r="C37" s="3">
        <v>12</v>
      </c>
      <c r="D37" s="3">
        <v>23.10716973019456</v>
      </c>
      <c r="E37" s="3">
        <v>0.89283026980544022</v>
      </c>
      <c r="F37" s="3"/>
      <c r="G37" s="3"/>
      <c r="H37" s="3"/>
      <c r="I37" s="3"/>
      <c r="J37" s="3"/>
      <c r="K37" s="3"/>
    </row>
    <row r="38" spans="3:11" x14ac:dyDescent="0.3">
      <c r="C38" s="3">
        <v>13</v>
      </c>
      <c r="D38" s="3">
        <v>21.497688917553475</v>
      </c>
      <c r="E38" s="3">
        <v>-3.4976889175534751</v>
      </c>
      <c r="F38" s="3"/>
      <c r="G38" s="3"/>
      <c r="H38" s="3"/>
      <c r="I38" s="3"/>
      <c r="J38" s="3"/>
      <c r="K38" s="3"/>
    </row>
    <row r="39" spans="3:11" x14ac:dyDescent="0.3">
      <c r="C39" s="3">
        <v>14</v>
      </c>
      <c r="D39" s="3">
        <v>21.037837256798881</v>
      </c>
      <c r="E39" s="3">
        <v>9.9621627432011195</v>
      </c>
      <c r="F39" s="3"/>
      <c r="G39" s="3"/>
      <c r="H39" s="3"/>
      <c r="I39" s="3"/>
      <c r="J39" s="3"/>
      <c r="K39" s="3"/>
    </row>
    <row r="40" spans="3:11" x14ac:dyDescent="0.3">
      <c r="C40" s="3">
        <v>15</v>
      </c>
      <c r="D40" s="3">
        <v>18.738578953025907</v>
      </c>
      <c r="E40" s="3">
        <v>-1.7385789530259075</v>
      </c>
      <c r="F40" s="3"/>
      <c r="G40" s="3"/>
      <c r="H40" s="3"/>
      <c r="I40" s="3"/>
      <c r="J40" s="3"/>
      <c r="K40" s="3"/>
    </row>
    <row r="41" spans="3:11" x14ac:dyDescent="0.3">
      <c r="C41" s="3">
        <v>16</v>
      </c>
      <c r="D41" s="3">
        <v>21.727614747930776</v>
      </c>
      <c r="E41" s="3">
        <v>-8.727614747930776</v>
      </c>
      <c r="F41" s="3"/>
      <c r="G41" s="3"/>
      <c r="H41" s="3"/>
      <c r="I41" s="3"/>
      <c r="J41" s="3"/>
      <c r="K41" s="3"/>
    </row>
    <row r="42" spans="3:11" x14ac:dyDescent="0.3">
      <c r="C42" s="3">
        <v>17</v>
      </c>
      <c r="D42" s="3">
        <v>21.267763087176178</v>
      </c>
      <c r="E42" s="3">
        <v>-0.26776308717617781</v>
      </c>
      <c r="F42" s="3"/>
      <c r="G42" s="3"/>
      <c r="H42" s="3"/>
      <c r="I42" s="3"/>
      <c r="J42" s="3"/>
      <c r="K42" s="3"/>
    </row>
    <row r="43" spans="3:11" x14ac:dyDescent="0.3">
      <c r="C43" s="3">
        <v>18</v>
      </c>
      <c r="D43" s="3">
        <v>19.888208104912394</v>
      </c>
      <c r="E43" s="3">
        <v>1.111791895087606</v>
      </c>
      <c r="F43" s="3"/>
      <c r="G43" s="3"/>
      <c r="H43" s="3"/>
      <c r="I43" s="3"/>
      <c r="J43" s="3"/>
      <c r="K43" s="3"/>
    </row>
    <row r="44" spans="3:11" x14ac:dyDescent="0.3">
      <c r="C44" s="3">
        <v>19</v>
      </c>
      <c r="D44" s="3">
        <v>21.727614747930776</v>
      </c>
      <c r="E44" s="3">
        <v>-9.727614747930776</v>
      </c>
      <c r="F44" s="3"/>
      <c r="G44" s="3"/>
      <c r="H44" s="3"/>
      <c r="I44" s="3"/>
      <c r="J44" s="3"/>
      <c r="K44" s="3"/>
    </row>
    <row r="45" spans="3:11" x14ac:dyDescent="0.3">
      <c r="C45" s="3">
        <v>20</v>
      </c>
      <c r="D45" s="3">
        <v>23.10716973019456</v>
      </c>
      <c r="E45" s="3">
        <v>-5.1071697301945598</v>
      </c>
      <c r="F45" s="3"/>
      <c r="G45" s="3"/>
      <c r="H45" s="3"/>
      <c r="I45" s="3"/>
      <c r="J45" s="3"/>
      <c r="K45" s="3"/>
    </row>
    <row r="46" spans="3:11" x14ac:dyDescent="0.3">
      <c r="C46" s="3">
        <v>21</v>
      </c>
      <c r="D46" s="3">
        <v>23.10716973019456</v>
      </c>
      <c r="E46" s="3">
        <v>-2.1071697301945598</v>
      </c>
      <c r="F46" s="3"/>
      <c r="G46" s="3"/>
      <c r="H46" s="3"/>
      <c r="I46" s="3"/>
      <c r="J46" s="3"/>
      <c r="K46" s="3"/>
    </row>
    <row r="47" spans="3:11" x14ac:dyDescent="0.3">
      <c r="C47" s="3">
        <v>22</v>
      </c>
      <c r="D47" s="3">
        <v>21.497688917553475</v>
      </c>
      <c r="E47" s="3">
        <v>-2.4976889175534751</v>
      </c>
      <c r="F47" s="3"/>
      <c r="G47" s="3"/>
      <c r="H47" s="3"/>
      <c r="I47" s="3"/>
      <c r="J47" s="3"/>
      <c r="K47" s="3"/>
    </row>
    <row r="48" spans="3:11" x14ac:dyDescent="0.3">
      <c r="C48" s="3">
        <v>23</v>
      </c>
      <c r="D48" s="3">
        <v>23.10716973019456</v>
      </c>
      <c r="E48" s="3">
        <v>-5.1071697301945598</v>
      </c>
      <c r="F48" s="3"/>
      <c r="G48" s="3"/>
      <c r="H48" s="3"/>
      <c r="I48" s="3"/>
      <c r="J48" s="3"/>
      <c r="K48" s="3"/>
    </row>
    <row r="49" spans="3:11" x14ac:dyDescent="0.3">
      <c r="C49" s="3">
        <v>24</v>
      </c>
      <c r="D49" s="3">
        <v>18.738578953025907</v>
      </c>
      <c r="E49" s="3">
        <v>0.26142104697409252</v>
      </c>
      <c r="F49" s="3"/>
      <c r="G49" s="3"/>
      <c r="H49" s="3"/>
      <c r="I49" s="3"/>
      <c r="J49" s="3"/>
      <c r="K49" s="3"/>
    </row>
    <row r="50" spans="3:11" x14ac:dyDescent="0.3">
      <c r="C50" s="3">
        <v>25</v>
      </c>
      <c r="D50" s="3">
        <v>22.647318069439965</v>
      </c>
      <c r="E50" s="3">
        <v>-4.6473180694399652</v>
      </c>
      <c r="F50" s="3"/>
      <c r="G50" s="3"/>
      <c r="H50" s="3"/>
      <c r="I50" s="3"/>
      <c r="J50" s="3"/>
      <c r="K50" s="3"/>
    </row>
    <row r="51" spans="3:11" x14ac:dyDescent="0.3">
      <c r="C51" s="3">
        <v>26</v>
      </c>
      <c r="D51" s="3">
        <v>22.647318069439965</v>
      </c>
      <c r="E51" s="3">
        <v>4.3526819305600348</v>
      </c>
      <c r="F51" s="3"/>
      <c r="G51" s="3"/>
      <c r="H51" s="3"/>
      <c r="I51" s="3"/>
      <c r="J51" s="3"/>
      <c r="K51" s="3"/>
    </row>
    <row r="52" spans="3:11" x14ac:dyDescent="0.3">
      <c r="C52" s="3">
        <v>27</v>
      </c>
      <c r="D52" s="3">
        <v>21.267763087176178</v>
      </c>
      <c r="E52" s="3">
        <v>1.7322369128238222</v>
      </c>
      <c r="F52" s="3"/>
      <c r="G52" s="3"/>
      <c r="H52" s="3"/>
      <c r="I52" s="3"/>
      <c r="J52" s="3"/>
      <c r="K52" s="3"/>
    </row>
    <row r="53" spans="3:11" x14ac:dyDescent="0.3">
      <c r="C53" s="3">
        <v>28</v>
      </c>
      <c r="D53" s="3">
        <v>21.037837256798881</v>
      </c>
      <c r="E53" s="3">
        <v>6.9621627432011195</v>
      </c>
      <c r="F53" s="3"/>
      <c r="G53" s="3"/>
      <c r="H53" s="3"/>
      <c r="I53" s="3"/>
      <c r="J53" s="3"/>
      <c r="K53" s="3"/>
    </row>
    <row r="54" spans="3:11" x14ac:dyDescent="0.3">
      <c r="C54" s="3">
        <v>29</v>
      </c>
      <c r="D54" s="3">
        <v>21.497688917553475</v>
      </c>
      <c r="E54" s="3">
        <v>-6.4976889175534751</v>
      </c>
      <c r="F54" s="3"/>
      <c r="G54" s="3"/>
      <c r="H54" s="3"/>
      <c r="I54" s="3"/>
      <c r="J54" s="3"/>
      <c r="K54" s="3"/>
    </row>
    <row r="55" spans="3:11" ht="18" thickBot="1" x14ac:dyDescent="0.35">
      <c r="C55" s="4">
        <v>30</v>
      </c>
      <c r="D55" s="4">
        <v>20.577985596044286</v>
      </c>
      <c r="E55" s="4">
        <v>3.4220144039557141</v>
      </c>
      <c r="F55" s="3"/>
      <c r="G55" s="3"/>
      <c r="H55" s="3"/>
      <c r="I55" s="3"/>
      <c r="J55" s="3"/>
      <c r="K55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4B2E8-8828-43E6-9514-9319C91515AA}">
  <dimension ref="A1:F23"/>
  <sheetViews>
    <sheetView zoomScale="80" zoomScaleNormal="80" workbookViewId="0">
      <selection activeCell="B11" sqref="B11"/>
    </sheetView>
  </sheetViews>
  <sheetFormatPr defaultRowHeight="21" x14ac:dyDescent="0.4"/>
  <cols>
    <col min="1" max="1" width="20.109375" style="7" customWidth="1"/>
    <col min="2" max="2" width="36.5546875" style="7" customWidth="1"/>
    <col min="3" max="3" width="38" style="7" customWidth="1"/>
    <col min="4" max="4" width="9.5546875" style="7" customWidth="1"/>
    <col min="5" max="5" width="23.77734375" style="7" customWidth="1"/>
    <col min="6" max="6" width="25.21875" style="7" customWidth="1"/>
    <col min="7" max="16384" width="8.88671875" style="7"/>
  </cols>
  <sheetData>
    <row r="1" spans="1:6" x14ac:dyDescent="0.4">
      <c r="A1" s="10" t="s">
        <v>48</v>
      </c>
      <c r="B1" s="10">
        <v>20</v>
      </c>
      <c r="C1" s="10" t="s">
        <v>49</v>
      </c>
      <c r="D1" s="10">
        <v>0.3</v>
      </c>
      <c r="E1" s="11" t="s">
        <v>53</v>
      </c>
      <c r="F1" s="11" t="s">
        <v>54</v>
      </c>
    </row>
    <row r="2" spans="1:6" x14ac:dyDescent="0.4">
      <c r="A2" s="9" t="s">
        <v>50</v>
      </c>
      <c r="B2" s="9" t="s">
        <v>52</v>
      </c>
      <c r="C2" s="9" t="s">
        <v>51</v>
      </c>
    </row>
    <row r="3" spans="1:6" x14ac:dyDescent="0.4">
      <c r="A3" s="8">
        <v>0</v>
      </c>
      <c r="B3" s="8">
        <f>_xlfn.BINOM.DIST(A3, $B$1, $D$1, FALSE)</f>
        <v>7.979226629761196E-4</v>
      </c>
      <c r="C3" s="8">
        <f>_xlfn.BINOM.DIST(A3, $B$1, $D$1, TRUE)</f>
        <v>7.979226629761196E-4</v>
      </c>
    </row>
    <row r="4" spans="1:6" x14ac:dyDescent="0.4">
      <c r="A4" s="8">
        <v>1</v>
      </c>
      <c r="B4" s="8">
        <f t="shared" ref="B4:B23" si="0">_xlfn.BINOM.DIST(A4, $B$1, $D$1, FALSE)</f>
        <v>6.8393371112238834E-3</v>
      </c>
      <c r="C4" s="8">
        <f t="shared" ref="C4:C23" si="1">_xlfn.BINOM.DIST(A4, $B$1, $D$1, TRUE)</f>
        <v>7.6372597742000005E-3</v>
      </c>
    </row>
    <row r="5" spans="1:6" x14ac:dyDescent="0.4">
      <c r="A5" s="8">
        <v>2</v>
      </c>
      <c r="B5" s="8">
        <f t="shared" si="0"/>
        <v>2.7845872524268706E-2</v>
      </c>
      <c r="C5" s="8">
        <f t="shared" si="1"/>
        <v>3.5483132298468667E-2</v>
      </c>
    </row>
    <row r="6" spans="1:6" x14ac:dyDescent="0.4">
      <c r="A6" s="8">
        <v>3</v>
      </c>
      <c r="B6" s="8">
        <f t="shared" si="0"/>
        <v>7.16036722052623E-2</v>
      </c>
      <c r="C6" s="8">
        <f t="shared" si="1"/>
        <v>0.10708680450373097</v>
      </c>
    </row>
    <row r="7" spans="1:6" x14ac:dyDescent="0.4">
      <c r="A7" s="8">
        <v>4</v>
      </c>
      <c r="B7" s="8">
        <f t="shared" si="0"/>
        <v>0.13042097437387062</v>
      </c>
      <c r="C7" s="8">
        <f t="shared" si="1"/>
        <v>0.23750777887760152</v>
      </c>
    </row>
    <row r="8" spans="1:6" x14ac:dyDescent="0.4">
      <c r="A8" s="8">
        <v>5</v>
      </c>
      <c r="B8" s="8">
        <f t="shared" si="0"/>
        <v>0.17886305056987975</v>
      </c>
      <c r="C8" s="8">
        <f t="shared" si="1"/>
        <v>0.41637082944748122</v>
      </c>
    </row>
    <row r="9" spans="1:6" x14ac:dyDescent="0.4">
      <c r="A9" s="8">
        <v>6</v>
      </c>
      <c r="B9" s="8">
        <f t="shared" si="0"/>
        <v>0.1916389827534426</v>
      </c>
      <c r="C9" s="8">
        <f t="shared" si="1"/>
        <v>0.60800981220092398</v>
      </c>
    </row>
    <row r="10" spans="1:6" x14ac:dyDescent="0.4">
      <c r="A10" s="8">
        <v>7</v>
      </c>
      <c r="B10" s="8">
        <f t="shared" si="0"/>
        <v>0.16426198521723651</v>
      </c>
      <c r="C10" s="8">
        <f t="shared" si="1"/>
        <v>0.77227179741816054</v>
      </c>
    </row>
    <row r="11" spans="1:6" x14ac:dyDescent="0.4">
      <c r="A11" s="8">
        <v>8</v>
      </c>
      <c r="B11" s="8">
        <f t="shared" si="0"/>
        <v>0.11439673970486113</v>
      </c>
      <c r="C11" s="8">
        <f t="shared" si="1"/>
        <v>0.88666853712302152</v>
      </c>
    </row>
    <row r="12" spans="1:6" x14ac:dyDescent="0.4">
      <c r="A12" s="8">
        <v>9</v>
      </c>
      <c r="B12" s="8">
        <f t="shared" si="0"/>
        <v>6.5369565545634917E-2</v>
      </c>
      <c r="C12" s="8">
        <f t="shared" si="1"/>
        <v>0.95203810266865652</v>
      </c>
    </row>
    <row r="13" spans="1:6" x14ac:dyDescent="0.4">
      <c r="A13" s="8">
        <v>10</v>
      </c>
      <c r="B13" s="8">
        <f t="shared" si="0"/>
        <v>3.0817080900085028E-2</v>
      </c>
      <c r="C13" s="8">
        <f t="shared" si="1"/>
        <v>0.98285518356874157</v>
      </c>
    </row>
    <row r="14" spans="1:6" x14ac:dyDescent="0.4">
      <c r="A14" s="8">
        <v>11</v>
      </c>
      <c r="B14" s="8">
        <f t="shared" si="0"/>
        <v>1.2006654896137026E-2</v>
      </c>
      <c r="C14" s="8">
        <f t="shared" si="1"/>
        <v>0.99486183846487863</v>
      </c>
    </row>
    <row r="15" spans="1:6" x14ac:dyDescent="0.4">
      <c r="A15" s="8">
        <v>12</v>
      </c>
      <c r="B15" s="8">
        <f t="shared" si="0"/>
        <v>3.8592819309011934E-3</v>
      </c>
      <c r="C15" s="8">
        <f t="shared" si="1"/>
        <v>0.99872112039577976</v>
      </c>
    </row>
    <row r="16" spans="1:6" x14ac:dyDescent="0.4">
      <c r="A16" s="8">
        <v>13</v>
      </c>
      <c r="B16" s="8">
        <f t="shared" si="0"/>
        <v>1.0178325971607538E-3</v>
      </c>
      <c r="C16" s="8">
        <f t="shared" si="1"/>
        <v>0.99973895299294058</v>
      </c>
    </row>
    <row r="17" spans="1:3" x14ac:dyDescent="0.4">
      <c r="A17" s="8">
        <v>14</v>
      </c>
      <c r="B17" s="8">
        <f t="shared" si="0"/>
        <v>2.1810698510587565E-4</v>
      </c>
      <c r="C17" s="8">
        <f t="shared" si="1"/>
        <v>0.9999570599780464</v>
      </c>
    </row>
    <row r="18" spans="1:3" x14ac:dyDescent="0.4">
      <c r="A18" s="8">
        <v>15</v>
      </c>
      <c r="B18" s="8">
        <f t="shared" si="0"/>
        <v>3.7389768875292973E-5</v>
      </c>
      <c r="C18" s="8">
        <f t="shared" si="1"/>
        <v>0.99999444974692175</v>
      </c>
    </row>
    <row r="19" spans="1:3" x14ac:dyDescent="0.4">
      <c r="A19" s="8">
        <v>16</v>
      </c>
      <c r="B19" s="8">
        <f t="shared" si="0"/>
        <v>5.0075583315124531E-6</v>
      </c>
      <c r="C19" s="8">
        <f t="shared" si="1"/>
        <v>0.99999945730525319</v>
      </c>
    </row>
    <row r="20" spans="1:3" x14ac:dyDescent="0.4">
      <c r="A20" s="8">
        <v>17</v>
      </c>
      <c r="B20" s="8">
        <f t="shared" si="0"/>
        <v>5.0496386536259853E-7</v>
      </c>
      <c r="C20" s="8">
        <f t="shared" si="1"/>
        <v>0.99999996226911858</v>
      </c>
    </row>
    <row r="21" spans="1:3" x14ac:dyDescent="0.4">
      <c r="A21" s="8">
        <v>18</v>
      </c>
      <c r="B21" s="8">
        <f t="shared" si="0"/>
        <v>3.6068847525900004E-8</v>
      </c>
      <c r="C21" s="8">
        <f t="shared" si="1"/>
        <v>0.99999999833796616</v>
      </c>
    </row>
    <row r="22" spans="1:3" x14ac:dyDescent="0.4">
      <c r="A22" s="8">
        <v>19</v>
      </c>
      <c r="B22" s="8">
        <f t="shared" si="0"/>
        <v>1.627166053800001E-9</v>
      </c>
      <c r="C22" s="8">
        <f t="shared" si="1"/>
        <v>0.99999999996513211</v>
      </c>
    </row>
    <row r="23" spans="1:3" x14ac:dyDescent="0.4">
      <c r="A23" s="8">
        <v>20</v>
      </c>
      <c r="B23" s="8">
        <f t="shared" si="0"/>
        <v>3.4867844009999942E-11</v>
      </c>
      <c r="C23" s="8">
        <f t="shared" si="1"/>
        <v>1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01BB-3056-4302-BCD4-BE9BB7FA9366}">
  <dimension ref="A1:P27"/>
  <sheetViews>
    <sheetView zoomScale="80" zoomScaleNormal="80" workbookViewId="0">
      <selection activeCell="U5" sqref="U5"/>
    </sheetView>
  </sheetViews>
  <sheetFormatPr defaultRowHeight="21" x14ac:dyDescent="0.3"/>
  <cols>
    <col min="1" max="1" width="19.109375" style="12" customWidth="1"/>
    <col min="2" max="3" width="10.5546875" style="12" bestFit="1" customWidth="1"/>
    <col min="4" max="15" width="8.88671875" style="12"/>
    <col min="16" max="16" width="26.33203125" style="12" customWidth="1"/>
    <col min="17" max="16384" width="8.88671875" style="12"/>
  </cols>
  <sheetData>
    <row r="1" spans="1:16" ht="22.2" customHeight="1" x14ac:dyDescent="0.3">
      <c r="A1" s="13" t="s">
        <v>55</v>
      </c>
      <c r="B1" s="14" t="s">
        <v>57</v>
      </c>
      <c r="C1" s="13" t="s">
        <v>56</v>
      </c>
      <c r="P1" s="15" t="s">
        <v>58</v>
      </c>
    </row>
    <row r="2" spans="1:16" x14ac:dyDescent="0.3">
      <c r="A2" s="8">
        <v>0</v>
      </c>
      <c r="B2" s="8">
        <f>_xlfn.POISSON.DIST(A2, 9, FALSE)</f>
        <v>1.2340980408667956E-4</v>
      </c>
      <c r="C2" s="8">
        <f>_xlfn.POISSON.DIST(A2, 9, TRUE)</f>
        <v>1.2340980408667956E-4</v>
      </c>
      <c r="P2" s="15" t="s">
        <v>59</v>
      </c>
    </row>
    <row r="3" spans="1:16" x14ac:dyDescent="0.3">
      <c r="A3" s="8">
        <v>1</v>
      </c>
      <c r="B3" s="8">
        <f t="shared" ref="B3:B27" si="0">_xlfn.POISSON.DIST(A3, 9, FALSE)</f>
        <v>1.1106882367801162E-3</v>
      </c>
      <c r="C3" s="8">
        <f t="shared" ref="C3:C27" si="1">_xlfn.POISSON.DIST(A3, 9, TRUE)</f>
        <v>1.2340980408667955E-3</v>
      </c>
    </row>
    <row r="4" spans="1:16" x14ac:dyDescent="0.3">
      <c r="A4" s="8">
        <v>2</v>
      </c>
      <c r="B4" s="8">
        <f t="shared" si="0"/>
        <v>4.9980970655105258E-3</v>
      </c>
      <c r="C4" s="8">
        <f t="shared" si="1"/>
        <v>6.2321951063773178E-3</v>
      </c>
    </row>
    <row r="5" spans="1:16" x14ac:dyDescent="0.3">
      <c r="A5" s="8">
        <v>3</v>
      </c>
      <c r="B5" s="8">
        <f t="shared" si="0"/>
        <v>1.4994291196531569E-2</v>
      </c>
      <c r="C5" s="8">
        <f t="shared" si="1"/>
        <v>2.1226486302908885E-2</v>
      </c>
    </row>
    <row r="6" spans="1:16" x14ac:dyDescent="0.3">
      <c r="A6" s="8">
        <v>4</v>
      </c>
      <c r="B6" s="8">
        <f t="shared" si="0"/>
        <v>3.3737155192196028E-2</v>
      </c>
      <c r="C6" s="8">
        <f t="shared" si="1"/>
        <v>5.4963641495104909E-2</v>
      </c>
    </row>
    <row r="7" spans="1:16" x14ac:dyDescent="0.3">
      <c r="A7" s="8">
        <v>5</v>
      </c>
      <c r="B7" s="8">
        <f t="shared" si="0"/>
        <v>6.0726879345952833E-2</v>
      </c>
      <c r="C7" s="8">
        <f t="shared" si="1"/>
        <v>0.11569052084105776</v>
      </c>
    </row>
    <row r="8" spans="1:16" x14ac:dyDescent="0.3">
      <c r="A8" s="8">
        <v>6</v>
      </c>
      <c r="B8" s="8">
        <f t="shared" si="0"/>
        <v>9.1090319018929236E-2</v>
      </c>
      <c r="C8" s="8">
        <f t="shared" si="1"/>
        <v>0.20678083985998702</v>
      </c>
    </row>
    <row r="9" spans="1:16" x14ac:dyDescent="0.3">
      <c r="A9" s="8">
        <v>7</v>
      </c>
      <c r="B9" s="8">
        <f t="shared" si="0"/>
        <v>0.11711612445290902</v>
      </c>
      <c r="C9" s="8">
        <f t="shared" si="1"/>
        <v>0.323896964312896</v>
      </c>
    </row>
    <row r="10" spans="1:16" x14ac:dyDescent="0.3">
      <c r="A10" s="8">
        <v>8</v>
      </c>
      <c r="B10" s="8">
        <f t="shared" si="0"/>
        <v>0.1317556400095227</v>
      </c>
      <c r="C10" s="8">
        <f t="shared" si="1"/>
        <v>0.45565260432241883</v>
      </c>
    </row>
    <row r="11" spans="1:16" x14ac:dyDescent="0.3">
      <c r="A11" s="8">
        <v>9</v>
      </c>
      <c r="B11" s="8">
        <f t="shared" si="0"/>
        <v>0.1317556400095227</v>
      </c>
      <c r="C11" s="8">
        <f t="shared" si="1"/>
        <v>0.58740824433194128</v>
      </c>
    </row>
    <row r="12" spans="1:16" x14ac:dyDescent="0.3">
      <c r="A12" s="8">
        <v>10</v>
      </c>
      <c r="B12" s="8">
        <f t="shared" si="0"/>
        <v>0.11858007600857041</v>
      </c>
      <c r="C12" s="8">
        <f t="shared" si="1"/>
        <v>0.70598832034051195</v>
      </c>
    </row>
    <row r="13" spans="1:16" x14ac:dyDescent="0.3">
      <c r="A13" s="8">
        <v>11</v>
      </c>
      <c r="B13" s="8">
        <f t="shared" si="0"/>
        <v>9.7020062188830358E-2</v>
      </c>
      <c r="C13" s="8">
        <f t="shared" si="1"/>
        <v>0.80300838252934215</v>
      </c>
    </row>
    <row r="14" spans="1:16" x14ac:dyDescent="0.3">
      <c r="A14" s="8">
        <v>12</v>
      </c>
      <c r="B14" s="8">
        <f t="shared" si="0"/>
        <v>7.2765046641622769E-2</v>
      </c>
      <c r="C14" s="8">
        <f t="shared" si="1"/>
        <v>0.87577342917096479</v>
      </c>
    </row>
    <row r="15" spans="1:16" x14ac:dyDescent="0.3">
      <c r="A15" s="8">
        <v>13</v>
      </c>
      <c r="B15" s="8">
        <f>_xlfn.POISSON.DIST(A15, 9, FALSE)</f>
        <v>5.0375801521123482E-2</v>
      </c>
      <c r="C15" s="8">
        <f t="shared" si="1"/>
        <v>0.92614923069208832</v>
      </c>
    </row>
    <row r="16" spans="1:16" x14ac:dyDescent="0.3">
      <c r="A16" s="8">
        <v>14</v>
      </c>
      <c r="B16" s="8">
        <f t="shared" si="0"/>
        <v>3.238444383500793E-2</v>
      </c>
      <c r="C16" s="8">
        <f t="shared" si="1"/>
        <v>0.95853367452709626</v>
      </c>
    </row>
    <row r="17" spans="1:3" x14ac:dyDescent="0.3">
      <c r="A17" s="8">
        <v>15</v>
      </c>
      <c r="B17" s="8">
        <f t="shared" si="0"/>
        <v>1.9430666301004745E-2</v>
      </c>
      <c r="C17" s="8">
        <f t="shared" si="1"/>
        <v>0.97796434082810102</v>
      </c>
    </row>
    <row r="18" spans="1:3" x14ac:dyDescent="0.3">
      <c r="A18" s="8">
        <v>16</v>
      </c>
      <c r="B18" s="8">
        <f t="shared" si="0"/>
        <v>1.0929749794315186E-2</v>
      </c>
      <c r="C18" s="8">
        <f t="shared" si="1"/>
        <v>0.98889409062241618</v>
      </c>
    </row>
    <row r="19" spans="1:3" x14ac:dyDescent="0.3">
      <c r="A19" s="8">
        <v>17</v>
      </c>
      <c r="B19" s="8">
        <f t="shared" si="0"/>
        <v>5.7863381264021485E-3</v>
      </c>
      <c r="C19" s="8">
        <f t="shared" si="1"/>
        <v>0.99468042874881835</v>
      </c>
    </row>
    <row r="20" spans="1:3" x14ac:dyDescent="0.3">
      <c r="A20" s="8">
        <v>18</v>
      </c>
      <c r="B20" s="8">
        <f t="shared" si="0"/>
        <v>2.893169063201076E-3</v>
      </c>
      <c r="C20" s="8">
        <f t="shared" si="1"/>
        <v>0.99757359781201949</v>
      </c>
    </row>
    <row r="21" spans="1:3" x14ac:dyDescent="0.3">
      <c r="A21" s="8">
        <v>19</v>
      </c>
      <c r="B21" s="8">
        <f t="shared" si="0"/>
        <v>1.3704485036215598E-3</v>
      </c>
      <c r="C21" s="8">
        <f t="shared" si="1"/>
        <v>0.99894404631564093</v>
      </c>
    </row>
    <row r="22" spans="1:3" x14ac:dyDescent="0.3">
      <c r="A22" s="8">
        <v>20</v>
      </c>
      <c r="B22" s="8">
        <f t="shared" si="0"/>
        <v>6.167018266297025E-4</v>
      </c>
      <c r="C22" s="8">
        <f t="shared" si="1"/>
        <v>0.99956074814227069</v>
      </c>
    </row>
    <row r="23" spans="1:3" x14ac:dyDescent="0.3">
      <c r="A23" s="8">
        <v>21</v>
      </c>
      <c r="B23" s="8">
        <f t="shared" si="0"/>
        <v>2.6430078284130093E-4</v>
      </c>
      <c r="C23" s="8">
        <f t="shared" si="1"/>
        <v>0.99982504892511193</v>
      </c>
    </row>
    <row r="24" spans="1:3" x14ac:dyDescent="0.3">
      <c r="A24" s="8">
        <v>22</v>
      </c>
      <c r="B24" s="8">
        <f t="shared" si="0"/>
        <v>1.0812304752598672E-4</v>
      </c>
      <c r="C24" s="8">
        <f t="shared" si="1"/>
        <v>0.99993317197263798</v>
      </c>
    </row>
    <row r="25" spans="1:3" x14ac:dyDescent="0.3">
      <c r="A25" s="8">
        <v>23</v>
      </c>
      <c r="B25" s="8">
        <f t="shared" si="0"/>
        <v>4.2309018597125411E-5</v>
      </c>
      <c r="C25" s="8">
        <f t="shared" si="1"/>
        <v>0.99997548099123512</v>
      </c>
    </row>
    <row r="26" spans="1:3" x14ac:dyDescent="0.3">
      <c r="A26" s="8">
        <v>24</v>
      </c>
      <c r="B26" s="8">
        <f>_xlfn.POISSON.DIST(A26, 9, FALSE)</f>
        <v>1.5865881973921998E-5</v>
      </c>
      <c r="C26" s="8">
        <f t="shared" si="1"/>
        <v>0.99999134687320912</v>
      </c>
    </row>
    <row r="27" spans="1:3" x14ac:dyDescent="0.3">
      <c r="A27" s="8">
        <v>25</v>
      </c>
      <c r="B27" s="8">
        <f t="shared" si="0"/>
        <v>5.7117175106119289E-6</v>
      </c>
      <c r="C27" s="8">
        <f t="shared" si="1"/>
        <v>0.99999705859071963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8E794-8488-4D7F-822B-775D4E161B02}">
  <dimension ref="A1:O1001"/>
  <sheetViews>
    <sheetView zoomScale="69" workbookViewId="0">
      <selection activeCell="I4" sqref="I4"/>
    </sheetView>
  </sheetViews>
  <sheetFormatPr defaultRowHeight="18" x14ac:dyDescent="0.35"/>
  <cols>
    <col min="1" max="2" width="8.88671875" style="26"/>
    <col min="3" max="3" width="45.77734375" style="26" customWidth="1"/>
    <col min="4" max="4" width="12.5546875" style="26" customWidth="1"/>
    <col min="5" max="8" width="8.88671875" style="26"/>
    <col min="9" max="9" width="30.33203125" style="26" customWidth="1"/>
    <col min="10" max="10" width="13.21875" style="26" customWidth="1"/>
    <col min="11" max="12" width="8.88671875" style="26"/>
    <col min="13" max="13" width="27.21875" style="26" customWidth="1"/>
    <col min="14" max="16384" width="8.88671875" style="26"/>
  </cols>
  <sheetData>
    <row r="1" spans="1:15" ht="18.600000000000001" thickBot="1" x14ac:dyDescent="0.4">
      <c r="A1" s="28" t="s">
        <v>62</v>
      </c>
      <c r="G1" s="26" t="s">
        <v>63</v>
      </c>
      <c r="H1" s="31" t="s">
        <v>64</v>
      </c>
      <c r="I1" s="31" t="s">
        <v>65</v>
      </c>
      <c r="J1" s="26" t="s">
        <v>66</v>
      </c>
      <c r="K1" s="26" t="s">
        <v>67</v>
      </c>
      <c r="O1" s="26">
        <f>STDEVA(A2:A75)</f>
        <v>12.616907073810893</v>
      </c>
    </row>
    <row r="2" spans="1:15" x14ac:dyDescent="0.35">
      <c r="A2" s="25">
        <v>15.044615474820603</v>
      </c>
      <c r="C2" s="29" t="s">
        <v>62</v>
      </c>
      <c r="D2" s="29"/>
      <c r="E2" s="25"/>
      <c r="F2" s="25"/>
      <c r="G2" s="26">
        <v>-21.83</v>
      </c>
      <c r="H2" s="25">
        <v>-21.83</v>
      </c>
      <c r="I2" s="25">
        <v>0</v>
      </c>
      <c r="J2" s="26">
        <f>I2/I$79</f>
        <v>0</v>
      </c>
      <c r="K2" s="26">
        <f>_xlfn.NORM.DIST(H2+0.41,D$4,D$8,TRUE)-_xlfn.NORM.DIST(H2-0.41,D$4,D$8,TRUE)</f>
        <v>1.1988954038242546E-3</v>
      </c>
    </row>
    <row r="3" spans="1:15" x14ac:dyDescent="0.35">
      <c r="A3" s="25">
        <v>26.416678019799292</v>
      </c>
      <c r="C3" s="25"/>
      <c r="D3" s="25"/>
      <c r="E3" s="25"/>
      <c r="F3" s="25"/>
      <c r="G3" s="26">
        <f>G2+0.83</f>
        <v>-21</v>
      </c>
      <c r="H3" s="25">
        <v>-21</v>
      </c>
      <c r="I3" s="25">
        <v>1</v>
      </c>
      <c r="J3" s="26">
        <f t="shared" ref="J3:J66" si="0">I3/I$79</f>
        <v>1.3698630136986301E-2</v>
      </c>
      <c r="K3" s="26">
        <f t="shared" ref="K3:K66" si="1">_xlfn.NORM.DIST(H3+0.41,D$4,D$8,TRUE)-_xlfn.NORM.DIST(H3-0.41,D$4,D$8,TRUE)</f>
        <v>1.408206106125718E-3</v>
      </c>
    </row>
    <row r="4" spans="1:15" x14ac:dyDescent="0.35">
      <c r="A4" s="25">
        <v>25.434041754109785</v>
      </c>
      <c r="C4" s="25" t="s">
        <v>0</v>
      </c>
      <c r="D4" s="25">
        <v>9.4580643640971118</v>
      </c>
      <c r="E4" s="25"/>
      <c r="F4" s="25"/>
      <c r="G4" s="26">
        <f t="shared" ref="G4:G67" si="2">G3+0.83</f>
        <v>-20.170000000000002</v>
      </c>
      <c r="H4" s="25">
        <v>-20.170000000000002</v>
      </c>
      <c r="I4" s="25">
        <v>0</v>
      </c>
      <c r="J4" s="26">
        <f t="shared" si="0"/>
        <v>0</v>
      </c>
      <c r="K4" s="26">
        <f t="shared" si="1"/>
        <v>1.6469193975941262E-3</v>
      </c>
    </row>
    <row r="5" spans="1:15" x14ac:dyDescent="0.35">
      <c r="A5" s="25">
        <v>21.153323041275144</v>
      </c>
      <c r="C5" s="25" t="s">
        <v>1</v>
      </c>
      <c r="D5" s="25">
        <v>1.4666856555807066</v>
      </c>
      <c r="E5" s="25"/>
      <c r="F5" s="25"/>
      <c r="G5" s="26">
        <f t="shared" si="2"/>
        <v>-19.340000000000003</v>
      </c>
      <c r="H5" s="25">
        <v>-19.340000000000003</v>
      </c>
      <c r="I5" s="25">
        <v>0</v>
      </c>
      <c r="J5" s="26">
        <f t="shared" si="0"/>
        <v>0</v>
      </c>
      <c r="K5" s="26">
        <f t="shared" si="1"/>
        <v>1.9177838637145228E-3</v>
      </c>
    </row>
    <row r="6" spans="1:15" x14ac:dyDescent="0.35">
      <c r="A6" s="25">
        <v>35.703346520662308</v>
      </c>
      <c r="C6" s="25" t="s">
        <v>2</v>
      </c>
      <c r="D6" s="25">
        <v>9.1859598341980018</v>
      </c>
      <c r="E6" s="25"/>
      <c r="F6" s="25"/>
      <c r="G6" s="26">
        <f t="shared" si="2"/>
        <v>-18.510000000000005</v>
      </c>
      <c r="H6" s="25">
        <v>-18.510000000000005</v>
      </c>
      <c r="I6" s="25">
        <v>0</v>
      </c>
      <c r="J6" s="26">
        <f t="shared" si="0"/>
        <v>0</v>
      </c>
      <c r="K6" s="26">
        <f t="shared" si="1"/>
        <v>2.2235565006432194E-3</v>
      </c>
    </row>
    <row r="7" spans="1:15" x14ac:dyDescent="0.35">
      <c r="A7" s="25">
        <v>6.7231209413730539</v>
      </c>
      <c r="C7" s="25" t="s">
        <v>3</v>
      </c>
      <c r="D7" s="25" t="e">
        <v>#N/A</v>
      </c>
      <c r="E7" s="25"/>
      <c r="F7" s="25"/>
      <c r="G7" s="26">
        <f t="shared" si="2"/>
        <v>-17.680000000000007</v>
      </c>
      <c r="H7" s="25">
        <v>-17.680000000000007</v>
      </c>
      <c r="I7" s="25">
        <v>0</v>
      </c>
      <c r="J7" s="26">
        <f t="shared" si="0"/>
        <v>0</v>
      </c>
      <c r="K7" s="26">
        <f t="shared" si="1"/>
        <v>2.5669527368728431E-3</v>
      </c>
    </row>
    <row r="8" spans="1:15" x14ac:dyDescent="0.35">
      <c r="A8" s="25">
        <v>-13.558779164683074</v>
      </c>
      <c r="C8" s="25" t="s">
        <v>4</v>
      </c>
      <c r="D8" s="25">
        <v>12.616907073810893</v>
      </c>
      <c r="E8" s="25"/>
      <c r="F8" s="25"/>
      <c r="G8" s="26">
        <f t="shared" si="2"/>
        <v>-16.850000000000009</v>
      </c>
      <c r="H8" s="25">
        <v>-16.850000000000009</v>
      </c>
      <c r="I8" s="25">
        <v>0</v>
      </c>
      <c r="J8" s="26">
        <f t="shared" si="0"/>
        <v>0</v>
      </c>
      <c r="K8" s="26">
        <f t="shared" si="1"/>
        <v>2.9505893426887732E-3</v>
      </c>
    </row>
    <row r="9" spans="1:15" x14ac:dyDescent="0.35">
      <c r="A9" s="25">
        <v>6.349032128113322</v>
      </c>
      <c r="C9" s="25" t="s">
        <v>5</v>
      </c>
      <c r="D9" s="25">
        <v>159.18634410917934</v>
      </c>
      <c r="E9" s="25"/>
      <c r="F9" s="25"/>
      <c r="G9" s="26">
        <f t="shared" si="2"/>
        <v>-16.02000000000001</v>
      </c>
      <c r="H9" s="25">
        <v>-16.02000000000001</v>
      </c>
      <c r="I9" s="25">
        <v>0</v>
      </c>
      <c r="J9" s="26">
        <f t="shared" si="0"/>
        <v>0</v>
      </c>
      <c r="K9" s="26">
        <f t="shared" si="1"/>
        <v>3.3769206854640556E-3</v>
      </c>
    </row>
    <row r="10" spans="1:15" x14ac:dyDescent="0.35">
      <c r="A10" s="25">
        <v>2.9147164695896208</v>
      </c>
      <c r="C10" s="25" t="s">
        <v>6</v>
      </c>
      <c r="D10" s="25">
        <v>0.19442942423344878</v>
      </c>
      <c r="E10" s="25"/>
      <c r="F10" s="25"/>
      <c r="G10" s="26">
        <f t="shared" si="2"/>
        <v>-15.19000000000001</v>
      </c>
      <c r="H10" s="25">
        <v>-15.19000000000001</v>
      </c>
      <c r="I10" s="25">
        <v>0</v>
      </c>
      <c r="J10" s="26">
        <f t="shared" si="0"/>
        <v>0</v>
      </c>
      <c r="K10" s="26">
        <f t="shared" si="1"/>
        <v>3.8481690762574988E-3</v>
      </c>
    </row>
    <row r="11" spans="1:15" x14ac:dyDescent="0.35">
      <c r="A11" s="25">
        <v>-6.7984413817757741</v>
      </c>
      <c r="C11" s="25" t="s">
        <v>7</v>
      </c>
      <c r="D11" s="25">
        <v>0.27432894080905562</v>
      </c>
      <c r="E11" s="25"/>
      <c r="F11" s="25"/>
      <c r="G11" s="26">
        <f t="shared" si="2"/>
        <v>-14.36000000000001</v>
      </c>
      <c r="H11" s="25">
        <v>-14.36000000000001</v>
      </c>
      <c r="I11" s="25">
        <v>0</v>
      </c>
      <c r="J11" s="26">
        <f t="shared" si="0"/>
        <v>0</v>
      </c>
      <c r="K11" s="26">
        <f t="shared" si="1"/>
        <v>4.3662502572724936E-3</v>
      </c>
    </row>
    <row r="12" spans="1:15" x14ac:dyDescent="0.35">
      <c r="A12" s="25">
        <v>-10.598810467869043</v>
      </c>
      <c r="C12" s="25" t="s">
        <v>8</v>
      </c>
      <c r="D12" s="25">
        <v>62.168401200324297</v>
      </c>
      <c r="E12" s="25"/>
      <c r="F12" s="25"/>
      <c r="G12" s="26">
        <f t="shared" si="2"/>
        <v>-13.53000000000001</v>
      </c>
      <c r="H12" s="25">
        <v>-13.53000000000001</v>
      </c>
      <c r="I12" s="25">
        <v>2</v>
      </c>
      <c r="J12" s="26">
        <f t="shared" si="0"/>
        <v>2.7397260273972601E-2</v>
      </c>
      <c r="K12" s="26">
        <f t="shared" si="1"/>
        <v>4.9326953904100593E-3</v>
      </c>
    </row>
    <row r="13" spans="1:15" x14ac:dyDescent="0.35">
      <c r="A13" s="25">
        <v>10.14968770503765</v>
      </c>
      <c r="C13" s="25" t="s">
        <v>9</v>
      </c>
      <c r="D13" s="25">
        <v>-21.611408874392509</v>
      </c>
      <c r="E13" s="25"/>
      <c r="F13" s="25"/>
      <c r="G13" s="26">
        <f t="shared" si="2"/>
        <v>-12.70000000000001</v>
      </c>
      <c r="H13" s="25">
        <v>-12.70000000000001</v>
      </c>
      <c r="I13" s="25">
        <v>0</v>
      </c>
      <c r="J13" s="26">
        <f t="shared" si="0"/>
        <v>0</v>
      </c>
      <c r="K13" s="26">
        <f t="shared" si="1"/>
        <v>5.5485712124897293E-3</v>
      </c>
    </row>
    <row r="14" spans="1:15" x14ac:dyDescent="0.35">
      <c r="A14" s="25">
        <v>10.091611920855939</v>
      </c>
      <c r="C14" s="25" t="s">
        <v>10</v>
      </c>
      <c r="D14" s="25">
        <v>40.556992325931787</v>
      </c>
      <c r="E14" s="25"/>
      <c r="F14" s="25"/>
      <c r="G14" s="26">
        <f t="shared" si="2"/>
        <v>-11.87000000000001</v>
      </c>
      <c r="H14" s="25">
        <v>-11.87000000000001</v>
      </c>
      <c r="I14" s="25">
        <v>0</v>
      </c>
      <c r="J14" s="26">
        <f t="shared" si="0"/>
        <v>0</v>
      </c>
      <c r="K14" s="26">
        <f t="shared" si="1"/>
        <v>6.2144003093420122E-3</v>
      </c>
    </row>
    <row r="15" spans="1:15" x14ac:dyDescent="0.35">
      <c r="A15" s="25">
        <v>-9.5292992682661861</v>
      </c>
      <c r="C15" s="25" t="s">
        <v>11</v>
      </c>
      <c r="D15" s="25">
        <v>699.89676294318633</v>
      </c>
      <c r="E15" s="25"/>
      <c r="F15" s="25"/>
      <c r="G15" s="26">
        <f t="shared" si="2"/>
        <v>-11.04000000000001</v>
      </c>
      <c r="H15" s="25">
        <v>-11.04000000000001</v>
      </c>
      <c r="I15" s="25">
        <v>0</v>
      </c>
      <c r="J15" s="26">
        <f t="shared" si="0"/>
        <v>0</v>
      </c>
      <c r="K15" s="26">
        <f t="shared" si="1"/>
        <v>6.9300837145135422E-3</v>
      </c>
    </row>
    <row r="16" spans="1:15" x14ac:dyDescent="0.35">
      <c r="A16" s="25">
        <v>16.727394404355437</v>
      </c>
      <c r="C16" s="25" t="s">
        <v>12</v>
      </c>
      <c r="D16" s="25">
        <v>74</v>
      </c>
      <c r="E16" s="25"/>
      <c r="F16" s="25"/>
      <c r="G16" s="26">
        <f t="shared" si="2"/>
        <v>-10.21000000000001</v>
      </c>
      <c r="H16" s="25">
        <v>-10.21000000000001</v>
      </c>
      <c r="I16" s="25">
        <v>2</v>
      </c>
      <c r="J16" s="26">
        <f t="shared" si="0"/>
        <v>2.7397260273972601E-2</v>
      </c>
      <c r="K16" s="26">
        <f t="shared" si="1"/>
        <v>7.6948282439755072E-3</v>
      </c>
    </row>
    <row r="17" spans="1:13" x14ac:dyDescent="0.35">
      <c r="A17" s="25">
        <v>-21.611408874392509</v>
      </c>
      <c r="C17" s="25" t="s">
        <v>13</v>
      </c>
      <c r="D17" s="25">
        <v>40.556992325931787</v>
      </c>
      <c r="G17" s="26">
        <f t="shared" si="2"/>
        <v>-9.3800000000000097</v>
      </c>
      <c r="H17" s="25">
        <v>-9.3800000000000097</v>
      </c>
      <c r="I17" s="25">
        <v>1</v>
      </c>
      <c r="J17" s="26">
        <f t="shared" si="0"/>
        <v>1.3698630136986301E-2</v>
      </c>
      <c r="K17" s="26">
        <f t="shared" si="1"/>
        <v>8.5070811214634501E-3</v>
      </c>
    </row>
    <row r="18" spans="1:13" x14ac:dyDescent="0.35">
      <c r="A18" s="25">
        <v>12.424561327847186</v>
      </c>
      <c r="C18" s="25" t="s">
        <v>14</v>
      </c>
      <c r="D18" s="25">
        <v>-21.611408874392509</v>
      </c>
      <c r="G18" s="26">
        <f t="shared" si="2"/>
        <v>-8.5500000000000096</v>
      </c>
      <c r="H18" s="25">
        <v>-8.5500000000000096</v>
      </c>
      <c r="I18" s="25">
        <v>0</v>
      </c>
      <c r="J18" s="26">
        <f t="shared" si="0"/>
        <v>0</v>
      </c>
      <c r="K18" s="26">
        <f t="shared" si="1"/>
        <v>9.364474516423138E-3</v>
      </c>
    </row>
    <row r="19" spans="1:13" ht="18.600000000000001" thickBot="1" x14ac:dyDescent="0.4">
      <c r="A19" s="25">
        <v>-2.9586729852017015</v>
      </c>
      <c r="C19" s="30" t="s">
        <v>15</v>
      </c>
      <c r="D19" s="30">
        <v>2.9231002961562225</v>
      </c>
      <c r="G19" s="26">
        <f t="shared" si="2"/>
        <v>-7.7200000000000095</v>
      </c>
      <c r="H19" s="25">
        <v>-7.7200000000000095</v>
      </c>
      <c r="I19" s="25">
        <v>0</v>
      </c>
      <c r="J19" s="26">
        <f t="shared" si="0"/>
        <v>0</v>
      </c>
      <c r="K19" s="26">
        <f t="shared" si="1"/>
        <v>1.0263782596338575E-2</v>
      </c>
    </row>
    <row r="20" spans="1:13" x14ac:dyDescent="0.35">
      <c r="A20" s="25">
        <v>-1.6768311525229365</v>
      </c>
      <c r="G20" s="26">
        <f t="shared" si="2"/>
        <v>-6.8900000000000095</v>
      </c>
      <c r="H20" s="25">
        <v>-6.8900000000000095</v>
      </c>
      <c r="I20" s="25">
        <v>0</v>
      </c>
      <c r="J20" s="26">
        <f t="shared" si="0"/>
        <v>0</v>
      </c>
      <c r="K20" s="26">
        <f t="shared" si="1"/>
        <v>1.1200893578464988E-2</v>
      </c>
      <c r="M20" s="27" t="s">
        <v>69</v>
      </c>
    </row>
    <row r="21" spans="1:13" x14ac:dyDescent="0.35">
      <c r="A21" s="25">
        <v>1.9898422124097124</v>
      </c>
      <c r="G21" s="26">
        <f t="shared" si="2"/>
        <v>-6.0600000000000094</v>
      </c>
      <c r="H21" s="25">
        <v>-6.0600000000000094</v>
      </c>
      <c r="I21" s="25">
        <v>1</v>
      </c>
      <c r="J21" s="26">
        <f t="shared" si="0"/>
        <v>1.3698630136986301E-2</v>
      </c>
      <c r="K21" s="26">
        <f t="shared" si="1"/>
        <v>1.2170799047050818E-2</v>
      </c>
      <c r="M21" s="27" t="s">
        <v>58</v>
      </c>
    </row>
    <row r="22" spans="1:13" x14ac:dyDescent="0.35">
      <c r="A22" s="25">
        <v>6.9992026055697352</v>
      </c>
      <c r="G22" s="26">
        <f t="shared" si="2"/>
        <v>-5.2300000000000093</v>
      </c>
      <c r="H22" s="25">
        <v>-5.2300000000000093</v>
      </c>
      <c r="I22" s="25">
        <v>0</v>
      </c>
      <c r="J22" s="26">
        <f t="shared" si="0"/>
        <v>0</v>
      </c>
      <c r="K22" s="26">
        <f t="shared" si="1"/>
        <v>1.3167602479388682E-2</v>
      </c>
    </row>
    <row r="23" spans="1:13" x14ac:dyDescent="0.35">
      <c r="A23" s="25">
        <v>2.8425753498449922</v>
      </c>
      <c r="G23" s="26">
        <f t="shared" si="2"/>
        <v>-4.4000000000000092</v>
      </c>
      <c r="H23" s="25">
        <v>-4.4000000000000092</v>
      </c>
      <c r="I23" s="25">
        <v>1</v>
      </c>
      <c r="J23" s="26">
        <f t="shared" si="0"/>
        <v>1.3698630136986301E-2</v>
      </c>
      <c r="K23" s="26">
        <f t="shared" si="1"/>
        <v>1.4184548500391664E-2</v>
      </c>
    </row>
    <row r="24" spans="1:13" x14ac:dyDescent="0.35">
      <c r="A24" s="25">
        <v>2.8404744170838967</v>
      </c>
      <c r="G24" s="26">
        <f t="shared" si="2"/>
        <v>-3.5700000000000092</v>
      </c>
      <c r="H24" s="25">
        <v>-3.5700000000000092</v>
      </c>
      <c r="I24" s="25">
        <v>2</v>
      </c>
      <c r="J24" s="26">
        <f t="shared" si="0"/>
        <v>2.7397260273972601E-2</v>
      </c>
      <c r="K24" s="26">
        <f t="shared" si="1"/>
        <v>1.5214073868572819E-2</v>
      </c>
    </row>
    <row r="25" spans="1:13" x14ac:dyDescent="0.35">
      <c r="A25" s="25">
        <v>-3.6273153000511229</v>
      </c>
      <c r="G25" s="26">
        <f t="shared" si="2"/>
        <v>-2.7400000000000091</v>
      </c>
      <c r="H25" s="25">
        <v>-2.7400000000000091</v>
      </c>
      <c r="I25" s="25">
        <v>2</v>
      </c>
      <c r="J25" s="26">
        <f t="shared" si="0"/>
        <v>2.7397260273972601E-2</v>
      </c>
      <c r="K25" s="26">
        <f t="shared" si="1"/>
        <v>1.6247880598890707E-2</v>
      </c>
    </row>
    <row r="26" spans="1:13" x14ac:dyDescent="0.35">
      <c r="A26" s="25">
        <v>11.177876012865454</v>
      </c>
      <c r="G26" s="26">
        <f t="shared" si="2"/>
        <v>-1.910000000000009</v>
      </c>
      <c r="H26" s="25">
        <v>-1.910000000000009</v>
      </c>
      <c r="I26" s="25">
        <v>1</v>
      </c>
      <c r="J26" s="26">
        <f t="shared" si="0"/>
        <v>1.3698630136986301E-2</v>
      </c>
      <c r="K26" s="26">
        <f t="shared" si="1"/>
        <v>1.7277030967233542E-2</v>
      </c>
    </row>
    <row r="27" spans="1:13" x14ac:dyDescent="0.35">
      <c r="A27" s="25">
        <v>8.8774501364096068</v>
      </c>
      <c r="G27" s="26">
        <f t="shared" si="2"/>
        <v>-1.080000000000009</v>
      </c>
      <c r="H27" s="25">
        <v>-1.080000000000009</v>
      </c>
      <c r="I27" s="25">
        <v>1</v>
      </c>
      <c r="J27" s="26">
        <f t="shared" si="0"/>
        <v>1.3698630136986301E-2</v>
      </c>
      <c r="K27" s="26">
        <f t="shared" si="1"/>
        <v>1.8292063438848594E-2</v>
      </c>
    </row>
    <row r="28" spans="1:13" x14ac:dyDescent="0.35">
      <c r="A28" s="25">
        <v>7.2324879965744913</v>
      </c>
      <c r="G28" s="26">
        <f t="shared" si="2"/>
        <v>-0.25000000000000899</v>
      </c>
      <c r="H28" s="25">
        <v>-0.25000000000000899</v>
      </c>
      <c r="I28" s="25">
        <v>1</v>
      </c>
      <c r="J28" s="26">
        <f t="shared" si="0"/>
        <v>1.3698630136986301E-2</v>
      </c>
      <c r="K28" s="26">
        <f t="shared" si="1"/>
        <v>1.9283127843856579E-2</v>
      </c>
    </row>
    <row r="29" spans="1:13" x14ac:dyDescent="0.35">
      <c r="A29" s="25">
        <v>38.845250537618995</v>
      </c>
      <c r="G29" s="26">
        <f t="shared" si="2"/>
        <v>0.57999999999999097</v>
      </c>
      <c r="H29" s="25">
        <v>0.57999999999999097</v>
      </c>
      <c r="I29" s="25">
        <v>1</v>
      </c>
      <c r="J29" s="26">
        <f t="shared" si="0"/>
        <v>1.3698630136986301E-2</v>
      </c>
      <c r="K29" s="26">
        <f t="shared" si="1"/>
        <v>2.0240137414705539E-2</v>
      </c>
    </row>
    <row r="30" spans="1:13" x14ac:dyDescent="0.35">
      <c r="A30" s="25">
        <v>-10.792969396803528</v>
      </c>
      <c r="G30" s="26">
        <f t="shared" si="2"/>
        <v>1.4099999999999908</v>
      </c>
      <c r="H30" s="25">
        <v>1.4099999999999908</v>
      </c>
      <c r="I30" s="25">
        <v>0</v>
      </c>
      <c r="J30" s="26">
        <f t="shared" si="0"/>
        <v>0</v>
      </c>
      <c r="K30" s="26">
        <f t="shared" si="1"/>
        <v>2.1152934632019615E-2</v>
      </c>
    </row>
    <row r="31" spans="1:13" x14ac:dyDescent="0.35">
      <c r="A31" s="25">
        <v>12.335735527798533</v>
      </c>
      <c r="G31" s="26">
        <f t="shared" si="2"/>
        <v>2.2399999999999909</v>
      </c>
      <c r="H31" s="25">
        <v>2.2399999999999909</v>
      </c>
      <c r="I31" s="25">
        <v>2</v>
      </c>
      <c r="J31" s="26">
        <f t="shared" si="0"/>
        <v>2.7397260273972601E-2</v>
      </c>
      <c r="K31" s="26">
        <f t="shared" si="1"/>
        <v>2.2011467225819148E-2</v>
      </c>
    </row>
    <row r="32" spans="1:13" x14ac:dyDescent="0.35">
      <c r="A32" s="25">
        <v>13.677726792579051</v>
      </c>
      <c r="G32" s="26">
        <f t="shared" si="2"/>
        <v>3.069999999999991</v>
      </c>
      <c r="H32" s="25">
        <v>3.069999999999991</v>
      </c>
      <c r="I32" s="25">
        <v>5</v>
      </c>
      <c r="J32" s="26">
        <f t="shared" si="0"/>
        <v>6.8493150684931503E-2</v>
      </c>
      <c r="K32" s="26">
        <f t="shared" si="1"/>
        <v>2.2805970176256518E-2</v>
      </c>
    </row>
    <row r="33" spans="1:11" x14ac:dyDescent="0.35">
      <c r="A33" s="25">
        <v>-3.8661667986307293</v>
      </c>
      <c r="G33" s="26">
        <f t="shared" si="2"/>
        <v>3.899999999999991</v>
      </c>
      <c r="H33" s="25">
        <v>3.899999999999991</v>
      </c>
      <c r="I33" s="25">
        <v>0</v>
      </c>
      <c r="J33" s="26">
        <f t="shared" si="0"/>
        <v>0</v>
      </c>
      <c r="K33" s="26">
        <f t="shared" si="1"/>
        <v>2.352714917674914E-2</v>
      </c>
    </row>
    <row r="34" spans="1:11" x14ac:dyDescent="0.35">
      <c r="A34" s="25">
        <v>32.167449398897588</v>
      </c>
      <c r="G34" s="26">
        <f t="shared" si="2"/>
        <v>4.7299999999999907</v>
      </c>
      <c r="H34" s="25">
        <v>4.7299999999999907</v>
      </c>
      <c r="I34" s="25">
        <v>1</v>
      </c>
      <c r="J34" s="26">
        <f t="shared" si="0"/>
        <v>1.3698630136986301E-2</v>
      </c>
      <c r="K34" s="26">
        <f t="shared" si="1"/>
        <v>2.416636078354345E-2</v>
      </c>
    </row>
    <row r="35" spans="1:11" x14ac:dyDescent="0.35">
      <c r="A35" s="25">
        <v>12.593181645555887</v>
      </c>
      <c r="G35" s="26">
        <f t="shared" si="2"/>
        <v>5.5599999999999907</v>
      </c>
      <c r="H35" s="25">
        <v>5.5599999999999907</v>
      </c>
      <c r="I35" s="25">
        <v>2</v>
      </c>
      <c r="J35" s="26">
        <f t="shared" si="0"/>
        <v>2.7397260273972601E-2</v>
      </c>
      <c r="K35" s="26">
        <f t="shared" si="1"/>
        <v>2.4715784394804985E-2</v>
      </c>
    </row>
    <row r="36" spans="1:11" x14ac:dyDescent="0.35">
      <c r="A36" s="25">
        <v>13.143421392655</v>
      </c>
      <c r="G36" s="26">
        <f t="shared" si="2"/>
        <v>6.3899999999999908</v>
      </c>
      <c r="H36" s="25">
        <v>6.3899999999999908</v>
      </c>
      <c r="I36" s="25">
        <v>5</v>
      </c>
      <c r="J36" s="26">
        <f t="shared" si="0"/>
        <v>6.8493150684931503E-2</v>
      </c>
      <c r="K36" s="26">
        <f t="shared" si="1"/>
        <v>2.5168581288545211E-2</v>
      </c>
    </row>
    <row r="37" spans="1:11" x14ac:dyDescent="0.35">
      <c r="A37" s="25">
        <v>-4.4885340230539441</v>
      </c>
      <c r="G37" s="26">
        <f t="shared" si="2"/>
        <v>7.2199999999999909</v>
      </c>
      <c r="H37" s="25">
        <v>7.2199999999999909</v>
      </c>
      <c r="I37" s="25">
        <v>4</v>
      </c>
      <c r="J37" s="26">
        <f t="shared" si="0"/>
        <v>5.4794520547945202E-2</v>
      </c>
      <c r="K37" s="26">
        <f t="shared" si="1"/>
        <v>2.551903620429169E-2</v>
      </c>
    </row>
    <row r="38" spans="1:11" x14ac:dyDescent="0.35">
      <c r="A38" s="25">
        <v>2.7681013761903159</v>
      </c>
      <c r="G38" s="26">
        <f t="shared" si="2"/>
        <v>8.0499999999999901</v>
      </c>
      <c r="H38" s="25">
        <v>8.0499999999999901</v>
      </c>
      <c r="I38" s="25">
        <v>1</v>
      </c>
      <c r="J38" s="26">
        <f t="shared" si="0"/>
        <v>1.3698630136986301E-2</v>
      </c>
      <c r="K38" s="26">
        <f t="shared" si="1"/>
        <v>2.5762677373343257E-2</v>
      </c>
    </row>
    <row r="39" spans="1:11" x14ac:dyDescent="0.35">
      <c r="A39" s="25">
        <v>6.4035608829581179</v>
      </c>
      <c r="G39" s="26">
        <f t="shared" si="2"/>
        <v>8.8799999999999901</v>
      </c>
      <c r="H39" s="25">
        <v>8.8799999999999901</v>
      </c>
      <c r="I39" s="25">
        <v>1</v>
      </c>
      <c r="J39" s="26">
        <f t="shared" si="0"/>
        <v>1.3698630136986301E-2</v>
      </c>
      <c r="K39" s="26">
        <f t="shared" si="1"/>
        <v>2.5896371474352142E-2</v>
      </c>
    </row>
    <row r="40" spans="1:11" x14ac:dyDescent="0.35">
      <c r="A40" s="25">
        <v>24.384257494588383</v>
      </c>
      <c r="G40" s="26">
        <f t="shared" si="2"/>
        <v>9.7099999999999902</v>
      </c>
      <c r="H40" s="25">
        <v>9.7099999999999902</v>
      </c>
      <c r="I40" s="25">
        <v>2</v>
      </c>
      <c r="J40" s="26">
        <f t="shared" si="0"/>
        <v>2.7397260273972601E-2</v>
      </c>
      <c r="K40" s="26">
        <f t="shared" si="1"/>
        <v>2.5918390695623628E-2</v>
      </c>
    </row>
    <row r="41" spans="1:11" x14ac:dyDescent="0.35">
      <c r="A41" s="25">
        <v>4.8458693072316237</v>
      </c>
      <c r="G41" s="26">
        <f t="shared" si="2"/>
        <v>10.53999999999999</v>
      </c>
      <c r="H41" s="25">
        <v>10.53999999999999</v>
      </c>
      <c r="I41" s="25">
        <v>5</v>
      </c>
      <c r="J41" s="26">
        <f t="shared" si="0"/>
        <v>6.8493150684931503E-2</v>
      </c>
      <c r="K41" s="26">
        <f t="shared" si="1"/>
        <v>2.5828449897579153E-2</v>
      </c>
    </row>
    <row r="42" spans="1:11" x14ac:dyDescent="0.35">
      <c r="A42" s="25">
        <v>9.8889674063539132</v>
      </c>
      <c r="G42" s="26">
        <f t="shared" si="2"/>
        <v>11.36999999999999</v>
      </c>
      <c r="H42" s="25">
        <v>11.36999999999999</v>
      </c>
      <c r="I42" s="25">
        <v>2</v>
      </c>
      <c r="J42" s="26">
        <f t="shared" si="0"/>
        <v>2.7397260273972601E-2</v>
      </c>
      <c r="K42" s="26">
        <f t="shared" si="1"/>
        <v>2.5627712757961829E-2</v>
      </c>
    </row>
    <row r="43" spans="1:11" x14ac:dyDescent="0.35">
      <c r="A43" s="25">
        <v>23.593269952456467</v>
      </c>
      <c r="G43" s="26">
        <f t="shared" si="2"/>
        <v>12.19999999999999</v>
      </c>
      <c r="H43" s="25">
        <v>12.19999999999999</v>
      </c>
      <c r="I43" s="25">
        <v>1</v>
      </c>
      <c r="J43" s="26">
        <f t="shared" si="0"/>
        <v>1.3698630136986301E-2</v>
      </c>
      <c r="K43" s="26">
        <f t="shared" si="1"/>
        <v>2.5318766714638397E-2</v>
      </c>
    </row>
    <row r="44" spans="1:11" x14ac:dyDescent="0.35">
      <c r="A44" s="25">
        <v>-2.6269166028359905</v>
      </c>
      <c r="G44" s="26">
        <f t="shared" si="2"/>
        <v>13.02999999999999</v>
      </c>
      <c r="H44" s="25">
        <v>13.02999999999999</v>
      </c>
      <c r="I44" s="25">
        <v>3</v>
      </c>
      <c r="J44" s="26">
        <f t="shared" si="0"/>
        <v>4.1095890410958902E-2</v>
      </c>
      <c r="K44" s="26">
        <f t="shared" si="1"/>
        <v>2.490556746028183E-2</v>
      </c>
    </row>
    <row r="45" spans="1:11" x14ac:dyDescent="0.35">
      <c r="A45" s="25">
        <v>-13.645326680503786</v>
      </c>
      <c r="G45" s="26">
        <f t="shared" si="2"/>
        <v>13.859999999999991</v>
      </c>
      <c r="H45" s="25">
        <v>13.859999999999991</v>
      </c>
      <c r="I45" s="25">
        <v>2</v>
      </c>
      <c r="J45" s="26">
        <f t="shared" si="0"/>
        <v>2.7397260273972601E-2</v>
      </c>
      <c r="K45" s="26">
        <f t="shared" si="1"/>
        <v>2.4393354653503119E-2</v>
      </c>
    </row>
    <row r="46" spans="1:11" x14ac:dyDescent="0.35">
      <c r="A46" s="25">
        <v>11.038968887063675</v>
      </c>
      <c r="G46" s="26">
        <f t="shared" si="2"/>
        <v>14.689999999999991</v>
      </c>
      <c r="H46" s="25">
        <v>14.689999999999991</v>
      </c>
      <c r="I46" s="25">
        <v>2</v>
      </c>
      <c r="J46" s="26">
        <f t="shared" si="0"/>
        <v>2.7397260273972601E-2</v>
      </c>
      <c r="K46" s="26">
        <f t="shared" si="1"/>
        <v>2.3788541357192994E-2</v>
      </c>
    </row>
    <row r="47" spans="1:11" x14ac:dyDescent="0.35">
      <c r="A47" s="25">
        <v>6.0840417518047616</v>
      </c>
      <c r="G47" s="26">
        <f t="shared" si="2"/>
        <v>15.519999999999991</v>
      </c>
      <c r="H47" s="25">
        <v>15.519999999999991</v>
      </c>
      <c r="I47" s="25">
        <v>3</v>
      </c>
      <c r="J47" s="26">
        <f t="shared" si="0"/>
        <v>4.1095890410958902E-2</v>
      </c>
      <c r="K47" s="26">
        <f t="shared" si="1"/>
        <v>2.3098580465010676E-2</v>
      </c>
    </row>
    <row r="48" spans="1:11" x14ac:dyDescent="0.35">
      <c r="A48" s="25">
        <v>10.306561898672953</v>
      </c>
      <c r="G48" s="26">
        <f t="shared" si="2"/>
        <v>16.349999999999991</v>
      </c>
      <c r="H48" s="25">
        <v>16.349999999999991</v>
      </c>
      <c r="I48" s="25">
        <v>1</v>
      </c>
      <c r="J48" s="26">
        <f t="shared" si="0"/>
        <v>1.3698630136986301E-2</v>
      </c>
      <c r="K48" s="26">
        <f t="shared" si="1"/>
        <v>2.2331812003669071E-2</v>
      </c>
    </row>
    <row r="49" spans="1:11" x14ac:dyDescent="0.35">
      <c r="A49" s="25">
        <v>14.606693775916938</v>
      </c>
      <c r="G49" s="26">
        <f t="shared" si="2"/>
        <v>17.179999999999989</v>
      </c>
      <c r="H49" s="25">
        <v>17.179999999999989</v>
      </c>
      <c r="I49" s="25">
        <v>1</v>
      </c>
      <c r="J49" s="26">
        <f t="shared" si="0"/>
        <v>1.3698630136986301E-2</v>
      </c>
      <c r="K49" s="26">
        <f t="shared" si="1"/>
        <v>2.1497295680183992E-2</v>
      </c>
    </row>
    <row r="50" spans="1:11" x14ac:dyDescent="0.35">
      <c r="A50" s="25">
        <v>12.121576810372062</v>
      </c>
      <c r="G50" s="26">
        <f t="shared" si="2"/>
        <v>18.009999999999987</v>
      </c>
      <c r="H50" s="25">
        <v>18.009999999999987</v>
      </c>
      <c r="I50" s="25">
        <v>0</v>
      </c>
      <c r="J50" s="26">
        <f t="shared" si="0"/>
        <v>0</v>
      </c>
      <c r="K50" s="26">
        <f t="shared" si="1"/>
        <v>2.0604633364429414E-2</v>
      </c>
    </row>
    <row r="51" spans="1:11" x14ac:dyDescent="0.35">
      <c r="A51" s="25">
        <v>4.4053555484279059</v>
      </c>
      <c r="G51" s="26">
        <f t="shared" si="2"/>
        <v>18.839999999999986</v>
      </c>
      <c r="H51" s="25">
        <v>18.839999999999986</v>
      </c>
      <c r="I51" s="25">
        <v>1</v>
      </c>
      <c r="J51" s="26">
        <f t="shared" si="0"/>
        <v>1.3698630136986301E-2</v>
      </c>
      <c r="K51" s="26">
        <f t="shared" si="1"/>
        <v>1.9663786350250012E-2</v>
      </c>
    </row>
    <row r="52" spans="1:11" x14ac:dyDescent="0.35">
      <c r="A52" s="25">
        <v>9.4944695319863968</v>
      </c>
      <c r="G52" s="26">
        <f t="shared" si="2"/>
        <v>19.669999999999984</v>
      </c>
      <c r="H52" s="25">
        <v>19.669999999999984</v>
      </c>
      <c r="I52" s="25">
        <v>0</v>
      </c>
      <c r="J52" s="26">
        <f t="shared" si="0"/>
        <v>0</v>
      </c>
      <c r="K52" s="26">
        <f t="shared" si="1"/>
        <v>1.8684892222393112E-2</v>
      </c>
    </row>
    <row r="53" spans="1:11" x14ac:dyDescent="0.35">
      <c r="A53" s="25">
        <v>6.1803845255635679</v>
      </c>
      <c r="G53" s="26">
        <f t="shared" si="2"/>
        <v>20.499999999999982</v>
      </c>
      <c r="H53" s="25">
        <v>20.499999999999982</v>
      </c>
      <c r="I53" s="25">
        <v>0</v>
      </c>
      <c r="J53" s="26">
        <f t="shared" si="0"/>
        <v>0</v>
      </c>
      <c r="K53" s="26">
        <f t="shared" si="1"/>
        <v>1.7678085978199753E-2</v>
      </c>
    </row>
    <row r="54" spans="1:11" x14ac:dyDescent="0.35">
      <c r="A54" s="25">
        <v>-0.37397999223321676</v>
      </c>
      <c r="G54" s="26">
        <f t="shared" si="2"/>
        <v>21.329999999999981</v>
      </c>
      <c r="H54" s="25">
        <v>21.329999999999981</v>
      </c>
      <c r="I54" s="25">
        <v>1</v>
      </c>
      <c r="J54" s="26">
        <f t="shared" si="0"/>
        <v>1.3698630136986301E-2</v>
      </c>
      <c r="K54" s="26">
        <f t="shared" si="1"/>
        <v>1.6653329725481614E-2</v>
      </c>
    </row>
    <row r="55" spans="1:11" x14ac:dyDescent="0.35">
      <c r="A55" s="25">
        <v>24.923760656733066</v>
      </c>
      <c r="G55" s="26">
        <f t="shared" si="2"/>
        <v>22.159999999999979</v>
      </c>
      <c r="H55" s="25">
        <v>22.159999999999979</v>
      </c>
      <c r="I55" s="25">
        <v>0</v>
      </c>
      <c r="J55" s="26">
        <f t="shared" si="0"/>
        <v>0</v>
      </c>
      <c r="K55" s="26">
        <f t="shared" si="1"/>
        <v>1.5620254820162938E-2</v>
      </c>
    </row>
    <row r="56" spans="1:11" x14ac:dyDescent="0.35">
      <c r="A56" s="25">
        <v>1.6328473520698026</v>
      </c>
      <c r="G56" s="26">
        <f t="shared" si="2"/>
        <v>22.989999999999977</v>
      </c>
      <c r="H56" s="25">
        <v>22.989999999999977</v>
      </c>
      <c r="I56" s="25">
        <v>0</v>
      </c>
      <c r="J56" s="26">
        <f t="shared" si="0"/>
        <v>0</v>
      </c>
      <c r="K56" s="26">
        <f t="shared" si="1"/>
        <v>1.4588019742583946E-2</v>
      </c>
    </row>
    <row r="57" spans="1:11" x14ac:dyDescent="0.35">
      <c r="A57" s="25">
        <v>40.556992325931787</v>
      </c>
      <c r="G57" s="26">
        <f t="shared" si="2"/>
        <v>23.819999999999975</v>
      </c>
      <c r="H57" s="25">
        <v>23.819999999999975</v>
      </c>
      <c r="I57" s="25">
        <v>1</v>
      </c>
      <c r="J57" s="26">
        <f t="shared" si="0"/>
        <v>1.3698630136986301E-2</v>
      </c>
      <c r="K57" s="26">
        <f t="shared" si="1"/>
        <v>1.3565186366624071E-2</v>
      </c>
    </row>
    <row r="58" spans="1:11" x14ac:dyDescent="0.35">
      <c r="A58" s="25">
        <v>10.50159394252114</v>
      </c>
      <c r="G58" s="26">
        <f t="shared" si="2"/>
        <v>24.649999999999974</v>
      </c>
      <c r="H58" s="25">
        <v>24.649999999999974</v>
      </c>
      <c r="I58" s="25">
        <v>1</v>
      </c>
      <c r="J58" s="26">
        <f t="shared" si="0"/>
        <v>1.3698630136986301E-2</v>
      </c>
      <c r="K58" s="26">
        <f t="shared" si="1"/>
        <v>1.2559616579690402E-2</v>
      </c>
    </row>
    <row r="59" spans="1:11" x14ac:dyDescent="0.35">
      <c r="A59" s="25">
        <v>14.888805389986373</v>
      </c>
      <c r="G59" s="26">
        <f t="shared" si="2"/>
        <v>25.479999999999972</v>
      </c>
      <c r="H59" s="25">
        <v>25.479999999999972</v>
      </c>
      <c r="I59" s="25">
        <v>2</v>
      </c>
      <c r="J59" s="26">
        <f t="shared" si="0"/>
        <v>2.7397260273972601E-2</v>
      </c>
      <c r="K59" s="26">
        <f t="shared" si="1"/>
        <v>1.1578390493340973E-2</v>
      </c>
    </row>
    <row r="60" spans="1:11" x14ac:dyDescent="0.35">
      <c r="A60" s="25">
        <v>5.2827678245957941</v>
      </c>
      <c r="G60" s="26">
        <f t="shared" si="2"/>
        <v>26.30999999999997</v>
      </c>
      <c r="H60" s="25">
        <v>26.30999999999997</v>
      </c>
      <c r="I60" s="25">
        <v>0</v>
      </c>
      <c r="J60" s="26">
        <f t="shared" si="0"/>
        <v>0</v>
      </c>
      <c r="K60" s="26">
        <f t="shared" si="1"/>
        <v>1.0627746772119084E-2</v>
      </c>
    </row>
    <row r="61" spans="1:11" x14ac:dyDescent="0.35">
      <c r="A61" s="25">
        <v>31.515996533911675</v>
      </c>
      <c r="G61" s="26">
        <f t="shared" si="2"/>
        <v>27.139999999999969</v>
      </c>
      <c r="H61" s="25">
        <v>27.139999999999969</v>
      </c>
      <c r="I61" s="25">
        <v>1</v>
      </c>
      <c r="J61" s="26">
        <f t="shared" si="0"/>
        <v>1.3698630136986301E-2</v>
      </c>
      <c r="K61" s="26">
        <f t="shared" si="1"/>
        <v>9.7130449282976095E-3</v>
      </c>
    </row>
    <row r="62" spans="1:11" x14ac:dyDescent="0.35">
      <c r="A62" s="25">
        <v>18.109699021792039</v>
      </c>
      <c r="G62" s="26">
        <f t="shared" si="2"/>
        <v>27.969999999999967</v>
      </c>
      <c r="H62" s="25">
        <v>27.969999999999967</v>
      </c>
      <c r="I62" s="25">
        <v>2</v>
      </c>
      <c r="J62" s="26">
        <f t="shared" si="0"/>
        <v>2.7397260273972601E-2</v>
      </c>
      <c r="K62" s="26">
        <f t="shared" si="1"/>
        <v>8.8387488056392849E-3</v>
      </c>
    </row>
    <row r="63" spans="1:11" x14ac:dyDescent="0.35">
      <c r="A63" s="25">
        <v>6.5133960106177256</v>
      </c>
      <c r="G63" s="26">
        <f t="shared" si="2"/>
        <v>28.799999999999965</v>
      </c>
      <c r="H63" s="25">
        <v>28.799999999999965</v>
      </c>
      <c r="I63" s="25">
        <v>0</v>
      </c>
      <c r="J63" s="26">
        <f t="shared" si="0"/>
        <v>0</v>
      </c>
      <c r="K63" s="26">
        <f t="shared" si="1"/>
        <v>8.0084299250269275E-3</v>
      </c>
    </row>
    <row r="64" spans="1:11" x14ac:dyDescent="0.35">
      <c r="A64" s="25">
        <v>6.0348471833858639</v>
      </c>
      <c r="G64" s="26">
        <f t="shared" si="2"/>
        <v>29.629999999999963</v>
      </c>
      <c r="H64" s="25">
        <v>29.629999999999963</v>
      </c>
      <c r="I64" s="25">
        <v>0</v>
      </c>
      <c r="J64" s="26">
        <f t="shared" si="0"/>
        <v>0</v>
      </c>
      <c r="K64" s="26">
        <f t="shared" si="1"/>
        <v>7.2247889033645318E-3</v>
      </c>
    </row>
    <row r="65" spans="1:11" x14ac:dyDescent="0.35">
      <c r="A65" s="25">
        <v>27.593036656966433</v>
      </c>
      <c r="G65" s="26">
        <f t="shared" si="2"/>
        <v>30.459999999999962</v>
      </c>
      <c r="H65" s="25">
        <v>30.459999999999962</v>
      </c>
      <c r="I65" s="25">
        <v>0</v>
      </c>
      <c r="J65" s="26">
        <f t="shared" si="0"/>
        <v>0</v>
      </c>
      <c r="K65" s="26">
        <f t="shared" si="1"/>
        <v>6.489692794160673E-3</v>
      </c>
    </row>
    <row r="66" spans="1:11" x14ac:dyDescent="0.35">
      <c r="A66" s="25">
        <v>15.183618097566068</v>
      </c>
      <c r="G66" s="26">
        <f>G65+0.83</f>
        <v>31.28999999999996</v>
      </c>
      <c r="H66" s="25">
        <v>31.28999999999996</v>
      </c>
      <c r="I66" s="25">
        <v>1</v>
      </c>
      <c r="J66" s="26">
        <f t="shared" si="0"/>
        <v>1.3698630136986301E-2</v>
      </c>
      <c r="K66" s="26">
        <f t="shared" si="1"/>
        <v>5.8042259384213368E-3</v>
      </c>
    </row>
    <row r="67" spans="1:11" x14ac:dyDescent="0.35">
      <c r="A67" s="25">
        <v>2.7586471787653863</v>
      </c>
      <c r="G67" s="26">
        <f t="shared" si="2"/>
        <v>32.119999999999962</v>
      </c>
      <c r="H67" s="25">
        <v>32.119999999999962</v>
      </c>
      <c r="I67" s="25">
        <v>1</v>
      </c>
      <c r="J67" s="26">
        <f t="shared" ref="J67:J77" si="3">I67/I$79</f>
        <v>1.3698630136986301E-2</v>
      </c>
      <c r="K67" s="26">
        <f t="shared" ref="K67:K77" si="4">_xlfn.NORM.DIST(H67+0.41,D$4,D$8,TRUE)-_xlfn.NORM.DIST(H67-0.41,D$4,D$8,TRUE)</f>
        <v>5.1687517580434328E-3</v>
      </c>
    </row>
    <row r="68" spans="1:11" x14ac:dyDescent="0.35">
      <c r="A68" s="25">
        <v>6.280328898341395</v>
      </c>
      <c r="G68" s="26">
        <f t="shared" ref="G68:G72" si="5">G67+0.83</f>
        <v>32.94999999999996</v>
      </c>
      <c r="H68" s="25">
        <v>32.94999999999996</v>
      </c>
      <c r="I68" s="25">
        <v>1</v>
      </c>
      <c r="J68" s="26">
        <f t="shared" si="3"/>
        <v>1.3698630136986301E-2</v>
      </c>
      <c r="K68" s="26">
        <f t="shared" si="4"/>
        <v>4.5829828666630323E-3</v>
      </c>
    </row>
    <row r="69" spans="1:11" x14ac:dyDescent="0.35">
      <c r="A69" s="25">
        <v>-3.3076461022719741</v>
      </c>
      <c r="G69" s="26">
        <f t="shared" si="5"/>
        <v>33.779999999999959</v>
      </c>
      <c r="H69" s="25">
        <v>33.779999999999959</v>
      </c>
      <c r="I69" s="25">
        <v>0</v>
      </c>
      <c r="J69" s="26">
        <f t="shared" si="3"/>
        <v>0</v>
      </c>
      <c r="K69" s="26">
        <f t="shared" si="4"/>
        <v>4.0460569071225638E-3</v>
      </c>
    </row>
    <row r="70" spans="1:11" x14ac:dyDescent="0.35">
      <c r="A70" s="25">
        <v>15.552454578923061</v>
      </c>
      <c r="G70" s="26">
        <f t="shared" si="5"/>
        <v>34.609999999999957</v>
      </c>
      <c r="H70" s="25">
        <v>34.609999999999957</v>
      </c>
      <c r="I70" s="25">
        <v>0</v>
      </c>
      <c r="J70" s="26">
        <f t="shared" si="3"/>
        <v>0</v>
      </c>
      <c r="K70" s="26">
        <f t="shared" si="4"/>
        <v>3.5566156396612536E-3</v>
      </c>
    </row>
    <row r="71" spans="1:11" x14ac:dyDescent="0.35">
      <c r="A71" s="25">
        <v>0.32041921257041395</v>
      </c>
      <c r="G71" s="26">
        <f t="shared" si="5"/>
        <v>35.439999999999955</v>
      </c>
      <c r="H71" s="25">
        <v>35.439999999999955</v>
      </c>
      <c r="I71" s="25">
        <v>0</v>
      </c>
      <c r="J71" s="26">
        <f t="shared" si="3"/>
        <v>0</v>
      </c>
      <c r="K71" s="26">
        <f t="shared" si="4"/>
        <v>3.1128849877549714E-3</v>
      </c>
    </row>
    <row r="72" spans="1:11" x14ac:dyDescent="0.35">
      <c r="A72" s="25">
        <v>31.062631614971906</v>
      </c>
      <c r="G72" s="26">
        <f t="shared" si="5"/>
        <v>36.269999999999953</v>
      </c>
      <c r="H72" s="25">
        <v>36.269999999999953</v>
      </c>
      <c r="I72" s="25">
        <v>1</v>
      </c>
      <c r="J72" s="26">
        <f t="shared" si="3"/>
        <v>1.3698630136986301E-2</v>
      </c>
      <c r="K72" s="26">
        <f t="shared" si="4"/>
        <v>2.7127539850149152E-3</v>
      </c>
    </row>
    <row r="73" spans="1:11" x14ac:dyDescent="0.35">
      <c r="A73" s="25">
        <v>13.867492862103973</v>
      </c>
      <c r="G73" s="26">
        <f>G72+0.83</f>
        <v>37.099999999999952</v>
      </c>
      <c r="H73" s="25">
        <v>37.099999999999952</v>
      </c>
      <c r="I73" s="25">
        <v>0</v>
      </c>
      <c r="J73" s="26">
        <f t="shared" si="3"/>
        <v>0</v>
      </c>
      <c r="K73" s="26">
        <f t="shared" si="4"/>
        <v>2.3538508419364002E-3</v>
      </c>
    </row>
    <row r="74" spans="1:11" x14ac:dyDescent="0.35">
      <c r="A74" s="25">
        <v>27.218033801531419</v>
      </c>
      <c r="G74" s="26">
        <f t="shared" ref="G74:G75" si="6">G73+0.83</f>
        <v>37.92999999999995</v>
      </c>
      <c r="H74" s="25">
        <v>37.92999999999995</v>
      </c>
      <c r="I74" s="25">
        <v>0</v>
      </c>
      <c r="J74" s="26">
        <f t="shared" si="3"/>
        <v>0</v>
      </c>
      <c r="K74" s="26">
        <f t="shared" si="4"/>
        <v>2.0336146509388753E-3</v>
      </c>
    </row>
    <row r="75" spans="1:11" x14ac:dyDescent="0.35">
      <c r="A75" s="25">
        <v>9.5836091077071615</v>
      </c>
      <c r="G75" s="26">
        <f t="shared" si="6"/>
        <v>38.759999999999948</v>
      </c>
      <c r="H75" s="25">
        <v>38.759999999999948</v>
      </c>
      <c r="I75" s="25">
        <v>0</v>
      </c>
      <c r="J75" s="26">
        <f t="shared" si="3"/>
        <v>0</v>
      </c>
      <c r="K75" s="26">
        <f t="shared" si="4"/>
        <v>1.7493615582299116E-3</v>
      </c>
    </row>
    <row r="76" spans="1:11" x14ac:dyDescent="0.35">
      <c r="A76" s="25"/>
      <c r="G76" s="26">
        <f>G75+0.83</f>
        <v>39.589999999999947</v>
      </c>
      <c r="H76" s="25">
        <v>39.589999999999947</v>
      </c>
      <c r="I76" s="25">
        <v>1</v>
      </c>
      <c r="J76" s="26">
        <f t="shared" si="3"/>
        <v>1.3698630136986301E-2</v>
      </c>
      <c r="K76" s="26">
        <f t="shared" si="4"/>
        <v>1.4983445390147621E-3</v>
      </c>
    </row>
    <row r="77" spans="1:11" x14ac:dyDescent="0.35">
      <c r="A77" s="25"/>
      <c r="G77" s="26">
        <f>G76+0.83</f>
        <v>40.419999999999945</v>
      </c>
      <c r="H77" s="25">
        <v>40.419999999999945</v>
      </c>
      <c r="I77" s="25">
        <v>0</v>
      </c>
      <c r="J77" s="26">
        <f t="shared" si="3"/>
        <v>0</v>
      </c>
      <c r="K77" s="26">
        <f t="shared" si="4"/>
        <v>1.2778062076235219E-3</v>
      </c>
    </row>
    <row r="78" spans="1:11" ht="18.600000000000001" thickBot="1" x14ac:dyDescent="0.4">
      <c r="A78" s="25"/>
      <c r="H78" s="30"/>
      <c r="I78" s="30"/>
    </row>
    <row r="79" spans="1:11" x14ac:dyDescent="0.35">
      <c r="A79" s="25"/>
      <c r="H79" s="26" t="s">
        <v>11</v>
      </c>
      <c r="I79" s="26">
        <f>SUM(I1:I77)</f>
        <v>73</v>
      </c>
      <c r="J79" s="26">
        <f>SUM(J1:J77)</f>
        <v>1.0000000000000002</v>
      </c>
      <c r="K79" s="26">
        <f>SUM(K1:K77)</f>
        <v>0.97566902028037661</v>
      </c>
    </row>
    <row r="80" spans="1:11" x14ac:dyDescent="0.35">
      <c r="A80" s="25"/>
    </row>
    <row r="81" spans="1:1" x14ac:dyDescent="0.35">
      <c r="A81" s="25"/>
    </row>
    <row r="82" spans="1:1" x14ac:dyDescent="0.35">
      <c r="A82" s="25"/>
    </row>
    <row r="83" spans="1:1" x14ac:dyDescent="0.35">
      <c r="A83" s="25"/>
    </row>
    <row r="84" spans="1:1" x14ac:dyDescent="0.35">
      <c r="A84" s="25"/>
    </row>
    <row r="85" spans="1:1" x14ac:dyDescent="0.35">
      <c r="A85" s="25"/>
    </row>
    <row r="86" spans="1:1" x14ac:dyDescent="0.35">
      <c r="A86" s="25"/>
    </row>
    <row r="87" spans="1:1" x14ac:dyDescent="0.35">
      <c r="A87" s="25"/>
    </row>
    <row r="88" spans="1:1" x14ac:dyDescent="0.35">
      <c r="A88" s="25"/>
    </row>
    <row r="89" spans="1:1" x14ac:dyDescent="0.35">
      <c r="A89" s="25"/>
    </row>
    <row r="90" spans="1:1" x14ac:dyDescent="0.35">
      <c r="A90" s="25"/>
    </row>
    <row r="91" spans="1:1" x14ac:dyDescent="0.35">
      <c r="A91" s="25"/>
    </row>
    <row r="92" spans="1:1" x14ac:dyDescent="0.35">
      <c r="A92" s="25"/>
    </row>
    <row r="93" spans="1:1" x14ac:dyDescent="0.35">
      <c r="A93" s="25"/>
    </row>
    <row r="94" spans="1:1" x14ac:dyDescent="0.35">
      <c r="A94" s="25"/>
    </row>
    <row r="95" spans="1:1" x14ac:dyDescent="0.35">
      <c r="A95" s="25"/>
    </row>
    <row r="96" spans="1:1" x14ac:dyDescent="0.35">
      <c r="A96" s="25"/>
    </row>
    <row r="97" spans="1:1" x14ac:dyDescent="0.35">
      <c r="A97" s="25"/>
    </row>
    <row r="98" spans="1:1" x14ac:dyDescent="0.35">
      <c r="A98" s="25"/>
    </row>
    <row r="99" spans="1:1" x14ac:dyDescent="0.35">
      <c r="A99" s="25"/>
    </row>
    <row r="100" spans="1:1" x14ac:dyDescent="0.35">
      <c r="A100" s="25"/>
    </row>
    <row r="101" spans="1:1" x14ac:dyDescent="0.35">
      <c r="A101" s="25"/>
    </row>
    <row r="102" spans="1:1" x14ac:dyDescent="0.35">
      <c r="A102" s="25"/>
    </row>
    <row r="103" spans="1:1" x14ac:dyDescent="0.35">
      <c r="A103" s="25"/>
    </row>
    <row r="104" spans="1:1" x14ac:dyDescent="0.35">
      <c r="A104" s="25"/>
    </row>
    <row r="105" spans="1:1" x14ac:dyDescent="0.35">
      <c r="A105" s="25"/>
    </row>
    <row r="106" spans="1:1" x14ac:dyDescent="0.35">
      <c r="A106" s="25"/>
    </row>
    <row r="107" spans="1:1" x14ac:dyDescent="0.35">
      <c r="A107" s="25"/>
    </row>
    <row r="108" spans="1:1" x14ac:dyDescent="0.35">
      <c r="A108" s="25"/>
    </row>
    <row r="109" spans="1:1" x14ac:dyDescent="0.35">
      <c r="A109" s="25"/>
    </row>
    <row r="110" spans="1:1" x14ac:dyDescent="0.35">
      <c r="A110" s="25"/>
    </row>
    <row r="111" spans="1:1" x14ac:dyDescent="0.35">
      <c r="A111" s="25"/>
    </row>
    <row r="112" spans="1:1" x14ac:dyDescent="0.35">
      <c r="A112" s="25"/>
    </row>
    <row r="113" spans="1:1" x14ac:dyDescent="0.35">
      <c r="A113" s="25"/>
    </row>
    <row r="114" spans="1:1" x14ac:dyDescent="0.35">
      <c r="A114" s="25"/>
    </row>
    <row r="115" spans="1:1" x14ac:dyDescent="0.35">
      <c r="A115" s="25"/>
    </row>
    <row r="116" spans="1:1" x14ac:dyDescent="0.35">
      <c r="A116" s="25"/>
    </row>
    <row r="117" spans="1:1" x14ac:dyDescent="0.35">
      <c r="A117" s="25"/>
    </row>
    <row r="118" spans="1:1" x14ac:dyDescent="0.35">
      <c r="A118" s="25"/>
    </row>
    <row r="119" spans="1:1" x14ac:dyDescent="0.35">
      <c r="A119" s="25"/>
    </row>
    <row r="120" spans="1:1" x14ac:dyDescent="0.35">
      <c r="A120" s="25"/>
    </row>
    <row r="121" spans="1:1" x14ac:dyDescent="0.35">
      <c r="A121" s="25"/>
    </row>
    <row r="122" spans="1:1" x14ac:dyDescent="0.35">
      <c r="A122" s="25"/>
    </row>
    <row r="123" spans="1:1" x14ac:dyDescent="0.35">
      <c r="A123" s="25"/>
    </row>
    <row r="124" spans="1:1" x14ac:dyDescent="0.35">
      <c r="A124" s="25"/>
    </row>
    <row r="125" spans="1:1" x14ac:dyDescent="0.35">
      <c r="A125" s="25"/>
    </row>
    <row r="126" spans="1:1" x14ac:dyDescent="0.35">
      <c r="A126" s="25"/>
    </row>
    <row r="127" spans="1:1" x14ac:dyDescent="0.35">
      <c r="A127" s="25"/>
    </row>
    <row r="128" spans="1:1" x14ac:dyDescent="0.35">
      <c r="A128" s="25"/>
    </row>
    <row r="129" spans="1:1" x14ac:dyDescent="0.35">
      <c r="A129" s="25"/>
    </row>
    <row r="130" spans="1:1" x14ac:dyDescent="0.35">
      <c r="A130" s="25"/>
    </row>
    <row r="131" spans="1:1" x14ac:dyDescent="0.35">
      <c r="A131" s="25"/>
    </row>
    <row r="132" spans="1:1" x14ac:dyDescent="0.35">
      <c r="A132" s="25"/>
    </row>
    <row r="133" spans="1:1" x14ac:dyDescent="0.35">
      <c r="A133" s="25"/>
    </row>
    <row r="134" spans="1:1" x14ac:dyDescent="0.35">
      <c r="A134" s="25"/>
    </row>
    <row r="135" spans="1:1" x14ac:dyDescent="0.35">
      <c r="A135" s="25"/>
    </row>
    <row r="136" spans="1:1" x14ac:dyDescent="0.35">
      <c r="A136" s="25"/>
    </row>
    <row r="137" spans="1:1" x14ac:dyDescent="0.35">
      <c r="A137" s="25"/>
    </row>
    <row r="138" spans="1:1" x14ac:dyDescent="0.35">
      <c r="A138" s="25"/>
    </row>
    <row r="139" spans="1:1" x14ac:dyDescent="0.35">
      <c r="A139" s="25"/>
    </row>
    <row r="140" spans="1:1" x14ac:dyDescent="0.35">
      <c r="A140" s="25"/>
    </row>
    <row r="141" spans="1:1" x14ac:dyDescent="0.35">
      <c r="A141" s="25"/>
    </row>
    <row r="142" spans="1:1" x14ac:dyDescent="0.35">
      <c r="A142" s="25"/>
    </row>
    <row r="143" spans="1:1" x14ac:dyDescent="0.35">
      <c r="A143" s="25"/>
    </row>
    <row r="144" spans="1:1" x14ac:dyDescent="0.35">
      <c r="A144" s="25"/>
    </row>
    <row r="145" spans="1:1" x14ac:dyDescent="0.35">
      <c r="A145" s="25"/>
    </row>
    <row r="146" spans="1:1" x14ac:dyDescent="0.35">
      <c r="A146" s="25"/>
    </row>
    <row r="147" spans="1:1" x14ac:dyDescent="0.35">
      <c r="A147" s="25"/>
    </row>
    <row r="148" spans="1:1" x14ac:dyDescent="0.35">
      <c r="A148" s="25"/>
    </row>
    <row r="149" spans="1:1" x14ac:dyDescent="0.35">
      <c r="A149" s="25"/>
    </row>
    <row r="150" spans="1:1" x14ac:dyDescent="0.35">
      <c r="A150" s="25"/>
    </row>
    <row r="151" spans="1:1" x14ac:dyDescent="0.35">
      <c r="A151" s="25"/>
    </row>
    <row r="152" spans="1:1" x14ac:dyDescent="0.35">
      <c r="A152" s="25"/>
    </row>
    <row r="153" spans="1:1" x14ac:dyDescent="0.35">
      <c r="A153" s="25"/>
    </row>
    <row r="154" spans="1:1" x14ac:dyDescent="0.35">
      <c r="A154" s="25"/>
    </row>
    <row r="155" spans="1:1" x14ac:dyDescent="0.35">
      <c r="A155" s="25"/>
    </row>
    <row r="156" spans="1:1" x14ac:dyDescent="0.35">
      <c r="A156" s="25"/>
    </row>
    <row r="157" spans="1:1" x14ac:dyDescent="0.35">
      <c r="A157" s="25"/>
    </row>
    <row r="158" spans="1:1" x14ac:dyDescent="0.35">
      <c r="A158" s="25"/>
    </row>
    <row r="159" spans="1:1" x14ac:dyDescent="0.35">
      <c r="A159" s="25"/>
    </row>
    <row r="160" spans="1:1" x14ac:dyDescent="0.35">
      <c r="A160" s="25"/>
    </row>
    <row r="161" spans="1:1" x14ac:dyDescent="0.35">
      <c r="A161" s="25"/>
    </row>
    <row r="162" spans="1:1" x14ac:dyDescent="0.35">
      <c r="A162" s="25"/>
    </row>
    <row r="163" spans="1:1" x14ac:dyDescent="0.35">
      <c r="A163" s="25"/>
    </row>
    <row r="164" spans="1:1" x14ac:dyDescent="0.35">
      <c r="A164" s="25"/>
    </row>
    <row r="165" spans="1:1" x14ac:dyDescent="0.35">
      <c r="A165" s="25"/>
    </row>
    <row r="166" spans="1:1" x14ac:dyDescent="0.35">
      <c r="A166" s="25"/>
    </row>
    <row r="167" spans="1:1" x14ac:dyDescent="0.35">
      <c r="A167" s="25"/>
    </row>
    <row r="168" spans="1:1" x14ac:dyDescent="0.35">
      <c r="A168" s="25"/>
    </row>
    <row r="169" spans="1:1" x14ac:dyDescent="0.35">
      <c r="A169" s="25"/>
    </row>
    <row r="170" spans="1:1" x14ac:dyDescent="0.35">
      <c r="A170" s="25"/>
    </row>
    <row r="171" spans="1:1" x14ac:dyDescent="0.35">
      <c r="A171" s="25"/>
    </row>
    <row r="172" spans="1:1" x14ac:dyDescent="0.35">
      <c r="A172" s="25"/>
    </row>
    <row r="173" spans="1:1" x14ac:dyDescent="0.35">
      <c r="A173" s="25"/>
    </row>
    <row r="174" spans="1:1" x14ac:dyDescent="0.35">
      <c r="A174" s="25"/>
    </row>
    <row r="175" spans="1:1" x14ac:dyDescent="0.35">
      <c r="A175" s="25"/>
    </row>
    <row r="176" spans="1:1" x14ac:dyDescent="0.35">
      <c r="A176" s="25"/>
    </row>
    <row r="177" spans="1:1" x14ac:dyDescent="0.35">
      <c r="A177" s="25"/>
    </row>
    <row r="178" spans="1:1" x14ac:dyDescent="0.35">
      <c r="A178" s="25"/>
    </row>
    <row r="179" spans="1:1" x14ac:dyDescent="0.35">
      <c r="A179" s="25"/>
    </row>
    <row r="180" spans="1:1" x14ac:dyDescent="0.35">
      <c r="A180" s="25"/>
    </row>
    <row r="181" spans="1:1" x14ac:dyDescent="0.35">
      <c r="A181" s="25"/>
    </row>
    <row r="182" spans="1:1" x14ac:dyDescent="0.35">
      <c r="A182" s="25"/>
    </row>
    <row r="183" spans="1:1" x14ac:dyDescent="0.35">
      <c r="A183" s="25"/>
    </row>
    <row r="184" spans="1:1" x14ac:dyDescent="0.35">
      <c r="A184" s="25"/>
    </row>
    <row r="185" spans="1:1" x14ac:dyDescent="0.35">
      <c r="A185" s="25"/>
    </row>
    <row r="186" spans="1:1" x14ac:dyDescent="0.35">
      <c r="A186" s="25"/>
    </row>
    <row r="187" spans="1:1" x14ac:dyDescent="0.35">
      <c r="A187" s="25"/>
    </row>
    <row r="188" spans="1:1" x14ac:dyDescent="0.35">
      <c r="A188" s="25"/>
    </row>
    <row r="189" spans="1:1" x14ac:dyDescent="0.35">
      <c r="A189" s="25"/>
    </row>
    <row r="190" spans="1:1" x14ac:dyDescent="0.35">
      <c r="A190" s="25"/>
    </row>
    <row r="191" spans="1:1" x14ac:dyDescent="0.35">
      <c r="A191" s="25"/>
    </row>
    <row r="192" spans="1:1" x14ac:dyDescent="0.35">
      <c r="A192" s="25"/>
    </row>
    <row r="193" spans="1:1" x14ac:dyDescent="0.35">
      <c r="A193" s="25"/>
    </row>
    <row r="194" spans="1:1" x14ac:dyDescent="0.35">
      <c r="A194" s="25"/>
    </row>
    <row r="195" spans="1:1" x14ac:dyDescent="0.35">
      <c r="A195" s="25"/>
    </row>
    <row r="196" spans="1:1" x14ac:dyDescent="0.35">
      <c r="A196" s="25"/>
    </row>
    <row r="197" spans="1:1" x14ac:dyDescent="0.35">
      <c r="A197" s="25"/>
    </row>
    <row r="198" spans="1:1" x14ac:dyDescent="0.35">
      <c r="A198" s="25"/>
    </row>
    <row r="199" spans="1:1" x14ac:dyDescent="0.35">
      <c r="A199" s="25"/>
    </row>
    <row r="200" spans="1:1" x14ac:dyDescent="0.35">
      <c r="A200" s="25"/>
    </row>
    <row r="201" spans="1:1" x14ac:dyDescent="0.35">
      <c r="A201" s="25"/>
    </row>
    <row r="202" spans="1:1" x14ac:dyDescent="0.35">
      <c r="A202" s="25"/>
    </row>
    <row r="203" spans="1:1" x14ac:dyDescent="0.35">
      <c r="A203" s="25"/>
    </row>
    <row r="204" spans="1:1" x14ac:dyDescent="0.35">
      <c r="A204" s="25"/>
    </row>
    <row r="205" spans="1:1" x14ac:dyDescent="0.35">
      <c r="A205" s="25"/>
    </row>
    <row r="206" spans="1:1" x14ac:dyDescent="0.35">
      <c r="A206" s="25"/>
    </row>
    <row r="207" spans="1:1" x14ac:dyDescent="0.35">
      <c r="A207" s="25"/>
    </row>
    <row r="208" spans="1:1" x14ac:dyDescent="0.35">
      <c r="A208" s="25"/>
    </row>
    <row r="209" spans="1:1" x14ac:dyDescent="0.35">
      <c r="A209" s="25"/>
    </row>
    <row r="210" spans="1:1" x14ac:dyDescent="0.35">
      <c r="A210" s="25"/>
    </row>
    <row r="211" spans="1:1" x14ac:dyDescent="0.35">
      <c r="A211" s="25"/>
    </row>
    <row r="212" spans="1:1" x14ac:dyDescent="0.35">
      <c r="A212" s="25"/>
    </row>
    <row r="213" spans="1:1" x14ac:dyDescent="0.35">
      <c r="A213" s="25"/>
    </row>
    <row r="214" spans="1:1" x14ac:dyDescent="0.35">
      <c r="A214" s="25"/>
    </row>
    <row r="215" spans="1:1" x14ac:dyDescent="0.35">
      <c r="A215" s="25"/>
    </row>
    <row r="216" spans="1:1" x14ac:dyDescent="0.35">
      <c r="A216" s="25"/>
    </row>
    <row r="217" spans="1:1" x14ac:dyDescent="0.35">
      <c r="A217" s="25"/>
    </row>
    <row r="218" spans="1:1" x14ac:dyDescent="0.35">
      <c r="A218" s="25"/>
    </row>
    <row r="219" spans="1:1" x14ac:dyDescent="0.35">
      <c r="A219" s="25"/>
    </row>
    <row r="220" spans="1:1" x14ac:dyDescent="0.35">
      <c r="A220" s="25"/>
    </row>
    <row r="221" spans="1:1" x14ac:dyDescent="0.35">
      <c r="A221" s="25"/>
    </row>
    <row r="222" spans="1:1" x14ac:dyDescent="0.35">
      <c r="A222" s="25"/>
    </row>
    <row r="223" spans="1:1" x14ac:dyDescent="0.35">
      <c r="A223" s="25"/>
    </row>
    <row r="224" spans="1:1" x14ac:dyDescent="0.35">
      <c r="A224" s="25"/>
    </row>
    <row r="225" spans="1:1" x14ac:dyDescent="0.35">
      <c r="A225" s="25"/>
    </row>
    <row r="226" spans="1:1" x14ac:dyDescent="0.35">
      <c r="A226" s="25"/>
    </row>
    <row r="227" spans="1:1" x14ac:dyDescent="0.35">
      <c r="A227" s="25"/>
    </row>
    <row r="228" spans="1:1" x14ac:dyDescent="0.35">
      <c r="A228" s="25"/>
    </row>
    <row r="229" spans="1:1" x14ac:dyDescent="0.35">
      <c r="A229" s="25"/>
    </row>
    <row r="230" spans="1:1" x14ac:dyDescent="0.35">
      <c r="A230" s="25"/>
    </row>
    <row r="231" spans="1:1" x14ac:dyDescent="0.35">
      <c r="A231" s="25"/>
    </row>
    <row r="232" spans="1:1" x14ac:dyDescent="0.35">
      <c r="A232" s="25"/>
    </row>
    <row r="233" spans="1:1" x14ac:dyDescent="0.35">
      <c r="A233" s="25"/>
    </row>
    <row r="234" spans="1:1" x14ac:dyDescent="0.35">
      <c r="A234" s="25"/>
    </row>
    <row r="235" spans="1:1" x14ac:dyDescent="0.35">
      <c r="A235" s="25"/>
    </row>
    <row r="236" spans="1:1" x14ac:dyDescent="0.35">
      <c r="A236" s="25"/>
    </row>
    <row r="237" spans="1:1" x14ac:dyDescent="0.35">
      <c r="A237" s="25"/>
    </row>
    <row r="238" spans="1:1" x14ac:dyDescent="0.35">
      <c r="A238" s="25"/>
    </row>
    <row r="239" spans="1:1" x14ac:dyDescent="0.35">
      <c r="A239" s="25"/>
    </row>
    <row r="240" spans="1:1" x14ac:dyDescent="0.35">
      <c r="A240" s="25"/>
    </row>
    <row r="241" spans="1:1" x14ac:dyDescent="0.35">
      <c r="A241" s="25"/>
    </row>
    <row r="242" spans="1:1" x14ac:dyDescent="0.35">
      <c r="A242" s="25"/>
    </row>
    <row r="243" spans="1:1" x14ac:dyDescent="0.35">
      <c r="A243" s="25"/>
    </row>
    <row r="244" spans="1:1" x14ac:dyDescent="0.35">
      <c r="A244" s="25"/>
    </row>
    <row r="245" spans="1:1" x14ac:dyDescent="0.35">
      <c r="A245" s="25"/>
    </row>
    <row r="246" spans="1:1" x14ac:dyDescent="0.35">
      <c r="A246" s="25"/>
    </row>
    <row r="247" spans="1:1" x14ac:dyDescent="0.35">
      <c r="A247" s="25"/>
    </row>
    <row r="248" spans="1:1" x14ac:dyDescent="0.35">
      <c r="A248" s="25"/>
    </row>
    <row r="249" spans="1:1" x14ac:dyDescent="0.35">
      <c r="A249" s="25"/>
    </row>
    <row r="250" spans="1:1" x14ac:dyDescent="0.35">
      <c r="A250" s="25"/>
    </row>
    <row r="251" spans="1:1" x14ac:dyDescent="0.35">
      <c r="A251" s="25"/>
    </row>
    <row r="252" spans="1:1" x14ac:dyDescent="0.35">
      <c r="A252" s="25"/>
    </row>
    <row r="253" spans="1:1" x14ac:dyDescent="0.35">
      <c r="A253" s="25"/>
    </row>
    <row r="254" spans="1:1" x14ac:dyDescent="0.35">
      <c r="A254" s="25"/>
    </row>
    <row r="255" spans="1:1" x14ac:dyDescent="0.35">
      <c r="A255" s="25"/>
    </row>
    <row r="256" spans="1:1" x14ac:dyDescent="0.35">
      <c r="A256" s="25"/>
    </row>
    <row r="257" spans="1:1" x14ac:dyDescent="0.35">
      <c r="A257" s="25"/>
    </row>
    <row r="258" spans="1:1" x14ac:dyDescent="0.35">
      <c r="A258" s="25"/>
    </row>
    <row r="259" spans="1:1" x14ac:dyDescent="0.35">
      <c r="A259" s="25"/>
    </row>
    <row r="260" spans="1:1" x14ac:dyDescent="0.35">
      <c r="A260" s="25"/>
    </row>
    <row r="261" spans="1:1" x14ac:dyDescent="0.35">
      <c r="A261" s="25"/>
    </row>
    <row r="262" spans="1:1" x14ac:dyDescent="0.35">
      <c r="A262" s="25"/>
    </row>
    <row r="263" spans="1:1" x14ac:dyDescent="0.35">
      <c r="A263" s="25"/>
    </row>
    <row r="264" spans="1:1" x14ac:dyDescent="0.35">
      <c r="A264" s="25"/>
    </row>
    <row r="265" spans="1:1" x14ac:dyDescent="0.35">
      <c r="A265" s="25"/>
    </row>
    <row r="266" spans="1:1" x14ac:dyDescent="0.35">
      <c r="A266" s="25"/>
    </row>
    <row r="267" spans="1:1" x14ac:dyDescent="0.35">
      <c r="A267" s="25"/>
    </row>
    <row r="268" spans="1:1" x14ac:dyDescent="0.35">
      <c r="A268" s="25"/>
    </row>
    <row r="269" spans="1:1" x14ac:dyDescent="0.35">
      <c r="A269" s="25"/>
    </row>
    <row r="270" spans="1:1" x14ac:dyDescent="0.35">
      <c r="A270" s="25"/>
    </row>
    <row r="271" spans="1:1" x14ac:dyDescent="0.35">
      <c r="A271" s="25"/>
    </row>
    <row r="272" spans="1:1" x14ac:dyDescent="0.35">
      <c r="A272" s="25"/>
    </row>
    <row r="273" spans="1:1" x14ac:dyDescent="0.35">
      <c r="A273" s="25"/>
    </row>
    <row r="274" spans="1:1" x14ac:dyDescent="0.35">
      <c r="A274" s="25"/>
    </row>
    <row r="275" spans="1:1" x14ac:dyDescent="0.35">
      <c r="A275" s="25"/>
    </row>
    <row r="276" spans="1:1" x14ac:dyDescent="0.35">
      <c r="A276" s="25"/>
    </row>
    <row r="277" spans="1:1" x14ac:dyDescent="0.35">
      <c r="A277" s="25"/>
    </row>
    <row r="278" spans="1:1" x14ac:dyDescent="0.35">
      <c r="A278" s="25"/>
    </row>
    <row r="279" spans="1:1" x14ac:dyDescent="0.35">
      <c r="A279" s="25"/>
    </row>
    <row r="280" spans="1:1" x14ac:dyDescent="0.35">
      <c r="A280" s="25"/>
    </row>
    <row r="281" spans="1:1" x14ac:dyDescent="0.35">
      <c r="A281" s="25"/>
    </row>
    <row r="282" spans="1:1" x14ac:dyDescent="0.35">
      <c r="A282" s="25"/>
    </row>
    <row r="283" spans="1:1" x14ac:dyDescent="0.35">
      <c r="A283" s="25"/>
    </row>
    <row r="284" spans="1:1" x14ac:dyDescent="0.35">
      <c r="A284" s="25"/>
    </row>
    <row r="285" spans="1:1" x14ac:dyDescent="0.35">
      <c r="A285" s="25"/>
    </row>
    <row r="286" spans="1:1" x14ac:dyDescent="0.35">
      <c r="A286" s="25"/>
    </row>
    <row r="287" spans="1:1" x14ac:dyDescent="0.35">
      <c r="A287" s="25"/>
    </row>
    <row r="288" spans="1:1" x14ac:dyDescent="0.35">
      <c r="A288" s="25"/>
    </row>
    <row r="289" spans="1:1" x14ac:dyDescent="0.35">
      <c r="A289" s="25"/>
    </row>
    <row r="290" spans="1:1" x14ac:dyDescent="0.35">
      <c r="A290" s="25"/>
    </row>
    <row r="291" spans="1:1" x14ac:dyDescent="0.35">
      <c r="A291" s="25"/>
    </row>
    <row r="292" spans="1:1" x14ac:dyDescent="0.35">
      <c r="A292" s="25"/>
    </row>
    <row r="293" spans="1:1" x14ac:dyDescent="0.35">
      <c r="A293" s="25"/>
    </row>
    <row r="294" spans="1:1" x14ac:dyDescent="0.35">
      <c r="A294" s="25"/>
    </row>
    <row r="295" spans="1:1" x14ac:dyDescent="0.35">
      <c r="A295" s="25"/>
    </row>
    <row r="296" spans="1:1" x14ac:dyDescent="0.35">
      <c r="A296" s="25"/>
    </row>
    <row r="297" spans="1:1" x14ac:dyDescent="0.35">
      <c r="A297" s="25"/>
    </row>
    <row r="298" spans="1:1" x14ac:dyDescent="0.35">
      <c r="A298" s="25"/>
    </row>
    <row r="299" spans="1:1" x14ac:dyDescent="0.35">
      <c r="A299" s="25"/>
    </row>
    <row r="300" spans="1:1" x14ac:dyDescent="0.35">
      <c r="A300" s="25"/>
    </row>
    <row r="301" spans="1:1" x14ac:dyDescent="0.35">
      <c r="A301" s="25"/>
    </row>
    <row r="302" spans="1:1" x14ac:dyDescent="0.35">
      <c r="A302" s="25"/>
    </row>
    <row r="303" spans="1:1" x14ac:dyDescent="0.35">
      <c r="A303" s="25"/>
    </row>
    <row r="304" spans="1:1" x14ac:dyDescent="0.35">
      <c r="A304" s="25"/>
    </row>
    <row r="305" spans="1:1" x14ac:dyDescent="0.35">
      <c r="A305" s="25"/>
    </row>
    <row r="306" spans="1:1" x14ac:dyDescent="0.35">
      <c r="A306" s="25"/>
    </row>
    <row r="307" spans="1:1" x14ac:dyDescent="0.35">
      <c r="A307" s="25"/>
    </row>
    <row r="308" spans="1:1" x14ac:dyDescent="0.35">
      <c r="A308" s="25"/>
    </row>
    <row r="309" spans="1:1" x14ac:dyDescent="0.35">
      <c r="A309" s="25"/>
    </row>
    <row r="310" spans="1:1" x14ac:dyDescent="0.35">
      <c r="A310" s="25"/>
    </row>
    <row r="311" spans="1:1" x14ac:dyDescent="0.35">
      <c r="A311" s="25"/>
    </row>
    <row r="312" spans="1:1" x14ac:dyDescent="0.35">
      <c r="A312" s="25"/>
    </row>
    <row r="313" spans="1:1" x14ac:dyDescent="0.35">
      <c r="A313" s="25"/>
    </row>
    <row r="314" spans="1:1" x14ac:dyDescent="0.35">
      <c r="A314" s="25"/>
    </row>
    <row r="315" spans="1:1" x14ac:dyDescent="0.35">
      <c r="A315" s="25"/>
    </row>
    <row r="316" spans="1:1" x14ac:dyDescent="0.35">
      <c r="A316" s="25"/>
    </row>
    <row r="317" spans="1:1" x14ac:dyDescent="0.35">
      <c r="A317" s="25"/>
    </row>
    <row r="318" spans="1:1" x14ac:dyDescent="0.35">
      <c r="A318" s="25"/>
    </row>
    <row r="319" spans="1:1" x14ac:dyDescent="0.35">
      <c r="A319" s="25"/>
    </row>
    <row r="320" spans="1:1" x14ac:dyDescent="0.35">
      <c r="A320" s="25"/>
    </row>
    <row r="321" spans="1:1" x14ac:dyDescent="0.35">
      <c r="A321" s="25"/>
    </row>
    <row r="322" spans="1:1" x14ac:dyDescent="0.35">
      <c r="A322" s="25"/>
    </row>
    <row r="323" spans="1:1" x14ac:dyDescent="0.35">
      <c r="A323" s="25"/>
    </row>
    <row r="324" spans="1:1" x14ac:dyDescent="0.35">
      <c r="A324" s="25"/>
    </row>
    <row r="325" spans="1:1" x14ac:dyDescent="0.35">
      <c r="A325" s="25"/>
    </row>
    <row r="326" spans="1:1" x14ac:dyDescent="0.35">
      <c r="A326" s="25"/>
    </row>
    <row r="327" spans="1:1" x14ac:dyDescent="0.35">
      <c r="A327" s="25"/>
    </row>
    <row r="328" spans="1:1" x14ac:dyDescent="0.35">
      <c r="A328" s="25"/>
    </row>
    <row r="329" spans="1:1" x14ac:dyDescent="0.35">
      <c r="A329" s="25"/>
    </row>
    <row r="330" spans="1:1" x14ac:dyDescent="0.35">
      <c r="A330" s="25"/>
    </row>
    <row r="331" spans="1:1" x14ac:dyDescent="0.35">
      <c r="A331" s="25"/>
    </row>
    <row r="332" spans="1:1" x14ac:dyDescent="0.35">
      <c r="A332" s="25"/>
    </row>
    <row r="333" spans="1:1" x14ac:dyDescent="0.35">
      <c r="A333" s="25"/>
    </row>
    <row r="334" spans="1:1" x14ac:dyDescent="0.35">
      <c r="A334" s="25"/>
    </row>
    <row r="335" spans="1:1" x14ac:dyDescent="0.35">
      <c r="A335" s="25"/>
    </row>
    <row r="336" spans="1:1" x14ac:dyDescent="0.35">
      <c r="A336" s="25"/>
    </row>
    <row r="337" spans="1:1" x14ac:dyDescent="0.35">
      <c r="A337" s="25"/>
    </row>
    <row r="338" spans="1:1" x14ac:dyDescent="0.35">
      <c r="A338" s="25"/>
    </row>
    <row r="339" spans="1:1" x14ac:dyDescent="0.35">
      <c r="A339" s="25"/>
    </row>
    <row r="340" spans="1:1" x14ac:dyDescent="0.35">
      <c r="A340" s="25"/>
    </row>
    <row r="341" spans="1:1" x14ac:dyDescent="0.35">
      <c r="A341" s="25"/>
    </row>
    <row r="342" spans="1:1" x14ac:dyDescent="0.35">
      <c r="A342" s="25"/>
    </row>
    <row r="343" spans="1:1" x14ac:dyDescent="0.35">
      <c r="A343" s="25"/>
    </row>
    <row r="344" spans="1:1" x14ac:dyDescent="0.35">
      <c r="A344" s="25"/>
    </row>
    <row r="345" spans="1:1" x14ac:dyDescent="0.35">
      <c r="A345" s="25"/>
    </row>
    <row r="346" spans="1:1" x14ac:dyDescent="0.35">
      <c r="A346" s="25"/>
    </row>
    <row r="347" spans="1:1" x14ac:dyDescent="0.35">
      <c r="A347" s="25"/>
    </row>
    <row r="348" spans="1:1" x14ac:dyDescent="0.35">
      <c r="A348" s="25"/>
    </row>
    <row r="349" spans="1:1" x14ac:dyDescent="0.35">
      <c r="A349" s="25"/>
    </row>
    <row r="350" spans="1:1" x14ac:dyDescent="0.35">
      <c r="A350" s="25"/>
    </row>
    <row r="351" spans="1:1" x14ac:dyDescent="0.35">
      <c r="A351" s="25"/>
    </row>
    <row r="352" spans="1:1" x14ac:dyDescent="0.35">
      <c r="A352" s="25"/>
    </row>
    <row r="353" spans="1:1" x14ac:dyDescent="0.35">
      <c r="A353" s="25"/>
    </row>
    <row r="354" spans="1:1" x14ac:dyDescent="0.35">
      <c r="A354" s="25"/>
    </row>
    <row r="355" spans="1:1" x14ac:dyDescent="0.35">
      <c r="A355" s="25"/>
    </row>
    <row r="356" spans="1:1" x14ac:dyDescent="0.35">
      <c r="A356" s="25"/>
    </row>
    <row r="357" spans="1:1" x14ac:dyDescent="0.35">
      <c r="A357" s="25"/>
    </row>
    <row r="358" spans="1:1" x14ac:dyDescent="0.35">
      <c r="A358" s="25"/>
    </row>
    <row r="359" spans="1:1" x14ac:dyDescent="0.35">
      <c r="A359" s="25"/>
    </row>
    <row r="360" spans="1:1" x14ac:dyDescent="0.35">
      <c r="A360" s="25"/>
    </row>
    <row r="361" spans="1:1" x14ac:dyDescent="0.35">
      <c r="A361" s="25"/>
    </row>
    <row r="362" spans="1:1" x14ac:dyDescent="0.35">
      <c r="A362" s="25"/>
    </row>
    <row r="363" spans="1:1" x14ac:dyDescent="0.35">
      <c r="A363" s="25"/>
    </row>
    <row r="364" spans="1:1" x14ac:dyDescent="0.35">
      <c r="A364" s="25"/>
    </row>
    <row r="365" spans="1:1" x14ac:dyDescent="0.35">
      <c r="A365" s="25"/>
    </row>
    <row r="366" spans="1:1" x14ac:dyDescent="0.35">
      <c r="A366" s="25"/>
    </row>
    <row r="367" spans="1:1" x14ac:dyDescent="0.35">
      <c r="A367" s="25"/>
    </row>
    <row r="368" spans="1:1" x14ac:dyDescent="0.35">
      <c r="A368" s="25"/>
    </row>
    <row r="369" spans="1:1" x14ac:dyDescent="0.35">
      <c r="A369" s="25"/>
    </row>
    <row r="370" spans="1:1" x14ac:dyDescent="0.35">
      <c r="A370" s="25"/>
    </row>
    <row r="371" spans="1:1" x14ac:dyDescent="0.35">
      <c r="A371" s="25"/>
    </row>
    <row r="372" spans="1:1" x14ac:dyDescent="0.35">
      <c r="A372" s="25"/>
    </row>
    <row r="373" spans="1:1" x14ac:dyDescent="0.35">
      <c r="A373" s="25"/>
    </row>
    <row r="374" spans="1:1" x14ac:dyDescent="0.35">
      <c r="A374" s="25"/>
    </row>
    <row r="375" spans="1:1" x14ac:dyDescent="0.35">
      <c r="A375" s="25"/>
    </row>
    <row r="376" spans="1:1" x14ac:dyDescent="0.35">
      <c r="A376" s="25"/>
    </row>
    <row r="377" spans="1:1" x14ac:dyDescent="0.35">
      <c r="A377" s="25"/>
    </row>
    <row r="378" spans="1:1" x14ac:dyDescent="0.35">
      <c r="A378" s="25"/>
    </row>
    <row r="379" spans="1:1" x14ac:dyDescent="0.35">
      <c r="A379" s="25"/>
    </row>
    <row r="380" spans="1:1" x14ac:dyDescent="0.35">
      <c r="A380" s="25"/>
    </row>
    <row r="381" spans="1:1" x14ac:dyDescent="0.35">
      <c r="A381" s="25"/>
    </row>
    <row r="382" spans="1:1" x14ac:dyDescent="0.35">
      <c r="A382" s="25"/>
    </row>
    <row r="383" spans="1:1" x14ac:dyDescent="0.35">
      <c r="A383" s="25"/>
    </row>
    <row r="384" spans="1:1" x14ac:dyDescent="0.35">
      <c r="A384" s="25"/>
    </row>
    <row r="385" spans="1:1" x14ac:dyDescent="0.35">
      <c r="A385" s="25"/>
    </row>
    <row r="386" spans="1:1" x14ac:dyDescent="0.35">
      <c r="A386" s="25"/>
    </row>
    <row r="387" spans="1:1" x14ac:dyDescent="0.35">
      <c r="A387" s="25"/>
    </row>
    <row r="388" spans="1:1" x14ac:dyDescent="0.35">
      <c r="A388" s="25"/>
    </row>
    <row r="389" spans="1:1" x14ac:dyDescent="0.35">
      <c r="A389" s="25"/>
    </row>
    <row r="390" spans="1:1" x14ac:dyDescent="0.35">
      <c r="A390" s="25"/>
    </row>
    <row r="391" spans="1:1" x14ac:dyDescent="0.35">
      <c r="A391" s="25"/>
    </row>
    <row r="392" spans="1:1" x14ac:dyDescent="0.35">
      <c r="A392" s="25"/>
    </row>
    <row r="393" spans="1:1" x14ac:dyDescent="0.35">
      <c r="A393" s="25"/>
    </row>
    <row r="394" spans="1:1" x14ac:dyDescent="0.35">
      <c r="A394" s="25"/>
    </row>
    <row r="395" spans="1:1" x14ac:dyDescent="0.35">
      <c r="A395" s="25"/>
    </row>
    <row r="396" spans="1:1" x14ac:dyDescent="0.35">
      <c r="A396" s="25"/>
    </row>
    <row r="397" spans="1:1" x14ac:dyDescent="0.35">
      <c r="A397" s="25"/>
    </row>
    <row r="398" spans="1:1" x14ac:dyDescent="0.35">
      <c r="A398" s="25"/>
    </row>
    <row r="399" spans="1:1" x14ac:dyDescent="0.35">
      <c r="A399" s="25"/>
    </row>
    <row r="400" spans="1:1" x14ac:dyDescent="0.35">
      <c r="A400" s="25"/>
    </row>
    <row r="401" spans="1:1" x14ac:dyDescent="0.35">
      <c r="A401" s="25"/>
    </row>
    <row r="402" spans="1:1" x14ac:dyDescent="0.35">
      <c r="A402" s="25"/>
    </row>
    <row r="403" spans="1:1" x14ac:dyDescent="0.35">
      <c r="A403" s="25"/>
    </row>
    <row r="404" spans="1:1" x14ac:dyDescent="0.35">
      <c r="A404" s="25"/>
    </row>
    <row r="405" spans="1:1" x14ac:dyDescent="0.35">
      <c r="A405" s="25"/>
    </row>
    <row r="406" spans="1:1" x14ac:dyDescent="0.35">
      <c r="A406" s="25"/>
    </row>
    <row r="407" spans="1:1" x14ac:dyDescent="0.35">
      <c r="A407" s="25"/>
    </row>
    <row r="408" spans="1:1" x14ac:dyDescent="0.35">
      <c r="A408" s="25"/>
    </row>
    <row r="409" spans="1:1" x14ac:dyDescent="0.35">
      <c r="A409" s="25"/>
    </row>
    <row r="410" spans="1:1" x14ac:dyDescent="0.35">
      <c r="A410" s="25"/>
    </row>
    <row r="411" spans="1:1" x14ac:dyDescent="0.35">
      <c r="A411" s="25"/>
    </row>
    <row r="412" spans="1:1" x14ac:dyDescent="0.35">
      <c r="A412" s="25"/>
    </row>
    <row r="413" spans="1:1" x14ac:dyDescent="0.35">
      <c r="A413" s="25"/>
    </row>
    <row r="414" spans="1:1" x14ac:dyDescent="0.35">
      <c r="A414" s="25"/>
    </row>
    <row r="415" spans="1:1" x14ac:dyDescent="0.35">
      <c r="A415" s="25"/>
    </row>
    <row r="416" spans="1:1" x14ac:dyDescent="0.35">
      <c r="A416" s="25"/>
    </row>
    <row r="417" spans="1:1" x14ac:dyDescent="0.35">
      <c r="A417" s="25"/>
    </row>
    <row r="418" spans="1:1" x14ac:dyDescent="0.35">
      <c r="A418" s="25"/>
    </row>
    <row r="419" spans="1:1" x14ac:dyDescent="0.35">
      <c r="A419" s="25"/>
    </row>
    <row r="420" spans="1:1" x14ac:dyDescent="0.35">
      <c r="A420" s="25"/>
    </row>
    <row r="421" spans="1:1" x14ac:dyDescent="0.35">
      <c r="A421" s="25"/>
    </row>
    <row r="422" spans="1:1" x14ac:dyDescent="0.35">
      <c r="A422" s="25"/>
    </row>
    <row r="423" spans="1:1" x14ac:dyDescent="0.35">
      <c r="A423" s="25"/>
    </row>
    <row r="424" spans="1:1" x14ac:dyDescent="0.35">
      <c r="A424" s="25"/>
    </row>
    <row r="425" spans="1:1" x14ac:dyDescent="0.35">
      <c r="A425" s="25"/>
    </row>
    <row r="426" spans="1:1" x14ac:dyDescent="0.35">
      <c r="A426" s="25"/>
    </row>
    <row r="427" spans="1:1" x14ac:dyDescent="0.35">
      <c r="A427" s="25"/>
    </row>
    <row r="428" spans="1:1" x14ac:dyDescent="0.35">
      <c r="A428" s="25"/>
    </row>
    <row r="429" spans="1:1" x14ac:dyDescent="0.35">
      <c r="A429" s="25"/>
    </row>
    <row r="430" spans="1:1" x14ac:dyDescent="0.35">
      <c r="A430" s="25"/>
    </row>
    <row r="431" spans="1:1" x14ac:dyDescent="0.35">
      <c r="A431" s="25"/>
    </row>
    <row r="432" spans="1:1" x14ac:dyDescent="0.35">
      <c r="A432" s="25"/>
    </row>
    <row r="433" spans="1:1" x14ac:dyDescent="0.35">
      <c r="A433" s="25"/>
    </row>
    <row r="434" spans="1:1" x14ac:dyDescent="0.35">
      <c r="A434" s="25"/>
    </row>
    <row r="435" spans="1:1" x14ac:dyDescent="0.35">
      <c r="A435" s="25"/>
    </row>
    <row r="436" spans="1:1" x14ac:dyDescent="0.35">
      <c r="A436" s="25"/>
    </row>
    <row r="437" spans="1:1" x14ac:dyDescent="0.35">
      <c r="A437" s="25"/>
    </row>
    <row r="438" spans="1:1" x14ac:dyDescent="0.35">
      <c r="A438" s="25"/>
    </row>
    <row r="439" spans="1:1" x14ac:dyDescent="0.35">
      <c r="A439" s="25"/>
    </row>
    <row r="440" spans="1:1" x14ac:dyDescent="0.35">
      <c r="A440" s="25"/>
    </row>
    <row r="441" spans="1:1" x14ac:dyDescent="0.35">
      <c r="A441" s="25"/>
    </row>
    <row r="442" spans="1:1" x14ac:dyDescent="0.35">
      <c r="A442" s="25"/>
    </row>
    <row r="443" spans="1:1" x14ac:dyDescent="0.35">
      <c r="A443" s="25"/>
    </row>
    <row r="444" spans="1:1" x14ac:dyDescent="0.35">
      <c r="A444" s="25"/>
    </row>
    <row r="445" spans="1:1" x14ac:dyDescent="0.35">
      <c r="A445" s="25"/>
    </row>
    <row r="446" spans="1:1" x14ac:dyDescent="0.35">
      <c r="A446" s="25"/>
    </row>
    <row r="447" spans="1:1" x14ac:dyDescent="0.35">
      <c r="A447" s="25"/>
    </row>
    <row r="448" spans="1:1" x14ac:dyDescent="0.35">
      <c r="A448" s="25"/>
    </row>
    <row r="449" spans="1:1" x14ac:dyDescent="0.35">
      <c r="A449" s="25"/>
    </row>
    <row r="450" spans="1:1" x14ac:dyDescent="0.35">
      <c r="A450" s="25"/>
    </row>
    <row r="451" spans="1:1" x14ac:dyDescent="0.35">
      <c r="A451" s="25"/>
    </row>
    <row r="452" spans="1:1" x14ac:dyDescent="0.35">
      <c r="A452" s="25"/>
    </row>
    <row r="453" spans="1:1" x14ac:dyDescent="0.35">
      <c r="A453" s="25"/>
    </row>
    <row r="454" spans="1:1" x14ac:dyDescent="0.35">
      <c r="A454" s="25"/>
    </row>
    <row r="455" spans="1:1" x14ac:dyDescent="0.35">
      <c r="A455" s="25"/>
    </row>
    <row r="456" spans="1:1" x14ac:dyDescent="0.35">
      <c r="A456" s="25"/>
    </row>
    <row r="457" spans="1:1" x14ac:dyDescent="0.35">
      <c r="A457" s="25"/>
    </row>
    <row r="458" spans="1:1" x14ac:dyDescent="0.35">
      <c r="A458" s="25"/>
    </row>
    <row r="459" spans="1:1" x14ac:dyDescent="0.35">
      <c r="A459" s="25"/>
    </row>
    <row r="460" spans="1:1" x14ac:dyDescent="0.35">
      <c r="A460" s="25"/>
    </row>
    <row r="461" spans="1:1" x14ac:dyDescent="0.35">
      <c r="A461" s="25"/>
    </row>
    <row r="462" spans="1:1" x14ac:dyDescent="0.35">
      <c r="A462" s="25"/>
    </row>
    <row r="463" spans="1:1" x14ac:dyDescent="0.35">
      <c r="A463" s="25"/>
    </row>
    <row r="464" spans="1:1" x14ac:dyDescent="0.35">
      <c r="A464" s="25"/>
    </row>
    <row r="465" spans="1:1" x14ac:dyDescent="0.35">
      <c r="A465" s="25"/>
    </row>
    <row r="466" spans="1:1" x14ac:dyDescent="0.35">
      <c r="A466" s="25"/>
    </row>
    <row r="467" spans="1:1" x14ac:dyDescent="0.35">
      <c r="A467" s="25"/>
    </row>
    <row r="468" spans="1:1" x14ac:dyDescent="0.35">
      <c r="A468" s="25"/>
    </row>
    <row r="469" spans="1:1" x14ac:dyDescent="0.35">
      <c r="A469" s="25"/>
    </row>
    <row r="470" spans="1:1" x14ac:dyDescent="0.35">
      <c r="A470" s="25"/>
    </row>
    <row r="471" spans="1:1" x14ac:dyDescent="0.35">
      <c r="A471" s="25"/>
    </row>
    <row r="472" spans="1:1" x14ac:dyDescent="0.35">
      <c r="A472" s="25"/>
    </row>
    <row r="473" spans="1:1" x14ac:dyDescent="0.35">
      <c r="A473" s="25"/>
    </row>
    <row r="474" spans="1:1" x14ac:dyDescent="0.35">
      <c r="A474" s="25"/>
    </row>
    <row r="475" spans="1:1" x14ac:dyDescent="0.35">
      <c r="A475" s="25"/>
    </row>
    <row r="476" spans="1:1" x14ac:dyDescent="0.35">
      <c r="A476" s="25"/>
    </row>
    <row r="477" spans="1:1" x14ac:dyDescent="0.35">
      <c r="A477" s="25"/>
    </row>
    <row r="478" spans="1:1" x14ac:dyDescent="0.35">
      <c r="A478" s="25"/>
    </row>
    <row r="479" spans="1:1" x14ac:dyDescent="0.35">
      <c r="A479" s="25"/>
    </row>
    <row r="480" spans="1:1" x14ac:dyDescent="0.35">
      <c r="A480" s="25"/>
    </row>
    <row r="481" spans="1:1" x14ac:dyDescent="0.35">
      <c r="A481" s="25"/>
    </row>
    <row r="482" spans="1:1" x14ac:dyDescent="0.35">
      <c r="A482" s="25"/>
    </row>
    <row r="483" spans="1:1" x14ac:dyDescent="0.35">
      <c r="A483" s="25"/>
    </row>
    <row r="484" spans="1:1" x14ac:dyDescent="0.35">
      <c r="A484" s="25"/>
    </row>
    <row r="485" spans="1:1" x14ac:dyDescent="0.35">
      <c r="A485" s="25"/>
    </row>
    <row r="486" spans="1:1" x14ac:dyDescent="0.35">
      <c r="A486" s="25"/>
    </row>
    <row r="487" spans="1:1" x14ac:dyDescent="0.35">
      <c r="A487" s="25"/>
    </row>
    <row r="488" spans="1:1" x14ac:dyDescent="0.35">
      <c r="A488" s="25"/>
    </row>
    <row r="489" spans="1:1" x14ac:dyDescent="0.35">
      <c r="A489" s="25"/>
    </row>
    <row r="490" spans="1:1" x14ac:dyDescent="0.35">
      <c r="A490" s="25"/>
    </row>
    <row r="491" spans="1:1" x14ac:dyDescent="0.35">
      <c r="A491" s="25"/>
    </row>
    <row r="492" spans="1:1" x14ac:dyDescent="0.35">
      <c r="A492" s="25"/>
    </row>
    <row r="493" spans="1:1" x14ac:dyDescent="0.35">
      <c r="A493" s="25"/>
    </row>
    <row r="494" spans="1:1" x14ac:dyDescent="0.35">
      <c r="A494" s="25"/>
    </row>
    <row r="495" spans="1:1" x14ac:dyDescent="0.35">
      <c r="A495" s="25"/>
    </row>
    <row r="496" spans="1:1" x14ac:dyDescent="0.35">
      <c r="A496" s="25"/>
    </row>
    <row r="497" spans="1:1" x14ac:dyDescent="0.35">
      <c r="A497" s="25"/>
    </row>
    <row r="498" spans="1:1" x14ac:dyDescent="0.35">
      <c r="A498" s="25"/>
    </row>
    <row r="499" spans="1:1" x14ac:dyDescent="0.35">
      <c r="A499" s="25"/>
    </row>
    <row r="500" spans="1:1" x14ac:dyDescent="0.35">
      <c r="A500" s="25"/>
    </row>
    <row r="501" spans="1:1" x14ac:dyDescent="0.35">
      <c r="A501" s="25"/>
    </row>
    <row r="502" spans="1:1" x14ac:dyDescent="0.35">
      <c r="A502" s="25"/>
    </row>
    <row r="503" spans="1:1" x14ac:dyDescent="0.35">
      <c r="A503" s="25"/>
    </row>
    <row r="504" spans="1:1" x14ac:dyDescent="0.35">
      <c r="A504" s="25"/>
    </row>
    <row r="505" spans="1:1" x14ac:dyDescent="0.35">
      <c r="A505" s="25"/>
    </row>
    <row r="506" spans="1:1" x14ac:dyDescent="0.35">
      <c r="A506" s="25"/>
    </row>
    <row r="507" spans="1:1" x14ac:dyDescent="0.35">
      <c r="A507" s="25"/>
    </row>
    <row r="508" spans="1:1" x14ac:dyDescent="0.35">
      <c r="A508" s="25"/>
    </row>
    <row r="509" spans="1:1" x14ac:dyDescent="0.35">
      <c r="A509" s="25"/>
    </row>
    <row r="510" spans="1:1" x14ac:dyDescent="0.35">
      <c r="A510" s="25"/>
    </row>
    <row r="511" spans="1:1" x14ac:dyDescent="0.35">
      <c r="A511" s="25"/>
    </row>
    <row r="512" spans="1:1" x14ac:dyDescent="0.35">
      <c r="A512" s="25"/>
    </row>
    <row r="513" spans="1:1" x14ac:dyDescent="0.35">
      <c r="A513" s="25"/>
    </row>
    <row r="514" spans="1:1" x14ac:dyDescent="0.35">
      <c r="A514" s="25"/>
    </row>
    <row r="515" spans="1:1" x14ac:dyDescent="0.35">
      <c r="A515" s="25"/>
    </row>
    <row r="516" spans="1:1" x14ac:dyDescent="0.35">
      <c r="A516" s="25"/>
    </row>
    <row r="517" spans="1:1" x14ac:dyDescent="0.35">
      <c r="A517" s="25"/>
    </row>
    <row r="518" spans="1:1" x14ac:dyDescent="0.35">
      <c r="A518" s="25"/>
    </row>
    <row r="519" spans="1:1" x14ac:dyDescent="0.35">
      <c r="A519" s="25"/>
    </row>
    <row r="520" spans="1:1" x14ac:dyDescent="0.35">
      <c r="A520" s="25"/>
    </row>
    <row r="521" spans="1:1" x14ac:dyDescent="0.35">
      <c r="A521" s="25"/>
    </row>
    <row r="522" spans="1:1" x14ac:dyDescent="0.35">
      <c r="A522" s="25"/>
    </row>
    <row r="523" spans="1:1" x14ac:dyDescent="0.35">
      <c r="A523" s="25"/>
    </row>
    <row r="524" spans="1:1" x14ac:dyDescent="0.35">
      <c r="A524" s="25"/>
    </row>
    <row r="525" spans="1:1" x14ac:dyDescent="0.35">
      <c r="A525" s="25"/>
    </row>
    <row r="526" spans="1:1" x14ac:dyDescent="0.35">
      <c r="A526" s="25"/>
    </row>
    <row r="527" spans="1:1" x14ac:dyDescent="0.35">
      <c r="A527" s="25"/>
    </row>
    <row r="528" spans="1:1" x14ac:dyDescent="0.35">
      <c r="A528" s="25"/>
    </row>
    <row r="529" spans="1:1" x14ac:dyDescent="0.35">
      <c r="A529" s="25"/>
    </row>
    <row r="530" spans="1:1" x14ac:dyDescent="0.35">
      <c r="A530" s="25"/>
    </row>
    <row r="531" spans="1:1" x14ac:dyDescent="0.35">
      <c r="A531" s="25"/>
    </row>
    <row r="532" spans="1:1" x14ac:dyDescent="0.35">
      <c r="A532" s="25"/>
    </row>
    <row r="533" spans="1:1" x14ac:dyDescent="0.35">
      <c r="A533" s="25"/>
    </row>
    <row r="534" spans="1:1" x14ac:dyDescent="0.35">
      <c r="A534" s="25"/>
    </row>
    <row r="535" spans="1:1" x14ac:dyDescent="0.35">
      <c r="A535" s="25"/>
    </row>
    <row r="536" spans="1:1" x14ac:dyDescent="0.35">
      <c r="A536" s="25"/>
    </row>
    <row r="537" spans="1:1" x14ac:dyDescent="0.35">
      <c r="A537" s="25"/>
    </row>
    <row r="538" spans="1:1" x14ac:dyDescent="0.35">
      <c r="A538" s="25"/>
    </row>
    <row r="539" spans="1:1" x14ac:dyDescent="0.35">
      <c r="A539" s="25"/>
    </row>
    <row r="540" spans="1:1" x14ac:dyDescent="0.35">
      <c r="A540" s="25"/>
    </row>
    <row r="541" spans="1:1" x14ac:dyDescent="0.35">
      <c r="A541" s="25"/>
    </row>
    <row r="542" spans="1:1" x14ac:dyDescent="0.35">
      <c r="A542" s="25"/>
    </row>
    <row r="543" spans="1:1" x14ac:dyDescent="0.35">
      <c r="A543" s="25"/>
    </row>
    <row r="544" spans="1:1" x14ac:dyDescent="0.35">
      <c r="A544" s="25"/>
    </row>
    <row r="545" spans="1:1" x14ac:dyDescent="0.35">
      <c r="A545" s="25"/>
    </row>
    <row r="546" spans="1:1" x14ac:dyDescent="0.35">
      <c r="A546" s="25"/>
    </row>
    <row r="547" spans="1:1" x14ac:dyDescent="0.35">
      <c r="A547" s="25"/>
    </row>
    <row r="548" spans="1:1" x14ac:dyDescent="0.35">
      <c r="A548" s="25"/>
    </row>
    <row r="549" spans="1:1" x14ac:dyDescent="0.35">
      <c r="A549" s="25"/>
    </row>
    <row r="550" spans="1:1" x14ac:dyDescent="0.35">
      <c r="A550" s="25"/>
    </row>
    <row r="551" spans="1:1" x14ac:dyDescent="0.35">
      <c r="A551" s="25"/>
    </row>
    <row r="552" spans="1:1" x14ac:dyDescent="0.35">
      <c r="A552" s="25"/>
    </row>
    <row r="553" spans="1:1" x14ac:dyDescent="0.35">
      <c r="A553" s="25"/>
    </row>
    <row r="554" spans="1:1" x14ac:dyDescent="0.35">
      <c r="A554" s="25"/>
    </row>
    <row r="555" spans="1:1" x14ac:dyDescent="0.35">
      <c r="A555" s="25"/>
    </row>
    <row r="556" spans="1:1" x14ac:dyDescent="0.35">
      <c r="A556" s="25"/>
    </row>
    <row r="557" spans="1:1" x14ac:dyDescent="0.35">
      <c r="A557" s="25"/>
    </row>
    <row r="558" spans="1:1" x14ac:dyDescent="0.35">
      <c r="A558" s="25"/>
    </row>
    <row r="559" spans="1:1" x14ac:dyDescent="0.35">
      <c r="A559" s="25"/>
    </row>
    <row r="560" spans="1:1" x14ac:dyDescent="0.35">
      <c r="A560" s="25"/>
    </row>
    <row r="561" spans="1:1" x14ac:dyDescent="0.35">
      <c r="A561" s="25"/>
    </row>
    <row r="562" spans="1:1" x14ac:dyDescent="0.35">
      <c r="A562" s="25"/>
    </row>
    <row r="563" spans="1:1" x14ac:dyDescent="0.35">
      <c r="A563" s="25"/>
    </row>
    <row r="564" spans="1:1" x14ac:dyDescent="0.35">
      <c r="A564" s="25"/>
    </row>
    <row r="565" spans="1:1" x14ac:dyDescent="0.35">
      <c r="A565" s="25"/>
    </row>
    <row r="566" spans="1:1" x14ac:dyDescent="0.35">
      <c r="A566" s="25"/>
    </row>
    <row r="567" spans="1:1" x14ac:dyDescent="0.35">
      <c r="A567" s="25"/>
    </row>
    <row r="568" spans="1:1" x14ac:dyDescent="0.35">
      <c r="A568" s="25"/>
    </row>
    <row r="569" spans="1:1" x14ac:dyDescent="0.35">
      <c r="A569" s="25"/>
    </row>
    <row r="570" spans="1:1" x14ac:dyDescent="0.35">
      <c r="A570" s="25"/>
    </row>
    <row r="571" spans="1:1" x14ac:dyDescent="0.35">
      <c r="A571" s="25"/>
    </row>
    <row r="572" spans="1:1" x14ac:dyDescent="0.35">
      <c r="A572" s="25"/>
    </row>
    <row r="573" spans="1:1" x14ac:dyDescent="0.35">
      <c r="A573" s="25"/>
    </row>
    <row r="574" spans="1:1" x14ac:dyDescent="0.35">
      <c r="A574" s="25"/>
    </row>
    <row r="575" spans="1:1" x14ac:dyDescent="0.35">
      <c r="A575" s="25"/>
    </row>
    <row r="576" spans="1:1" x14ac:dyDescent="0.35">
      <c r="A576" s="25"/>
    </row>
    <row r="577" spans="1:1" x14ac:dyDescent="0.35">
      <c r="A577" s="25"/>
    </row>
    <row r="578" spans="1:1" x14ac:dyDescent="0.35">
      <c r="A578" s="25"/>
    </row>
    <row r="579" spans="1:1" x14ac:dyDescent="0.35">
      <c r="A579" s="25"/>
    </row>
    <row r="580" spans="1:1" x14ac:dyDescent="0.35">
      <c r="A580" s="25"/>
    </row>
    <row r="581" spans="1:1" x14ac:dyDescent="0.35">
      <c r="A581" s="25"/>
    </row>
    <row r="582" spans="1:1" x14ac:dyDescent="0.35">
      <c r="A582" s="25"/>
    </row>
    <row r="583" spans="1:1" x14ac:dyDescent="0.35">
      <c r="A583" s="25"/>
    </row>
    <row r="584" spans="1:1" x14ac:dyDescent="0.35">
      <c r="A584" s="25"/>
    </row>
    <row r="585" spans="1:1" x14ac:dyDescent="0.35">
      <c r="A585" s="25"/>
    </row>
    <row r="586" spans="1:1" x14ac:dyDescent="0.35">
      <c r="A586" s="25"/>
    </row>
    <row r="587" spans="1:1" x14ac:dyDescent="0.35">
      <c r="A587" s="25"/>
    </row>
    <row r="588" spans="1:1" x14ac:dyDescent="0.35">
      <c r="A588" s="25"/>
    </row>
    <row r="589" spans="1:1" x14ac:dyDescent="0.35">
      <c r="A589" s="25"/>
    </row>
    <row r="590" spans="1:1" x14ac:dyDescent="0.35">
      <c r="A590" s="25"/>
    </row>
    <row r="591" spans="1:1" x14ac:dyDescent="0.35">
      <c r="A591" s="25"/>
    </row>
    <row r="592" spans="1:1" x14ac:dyDescent="0.35">
      <c r="A592" s="25"/>
    </row>
    <row r="593" spans="1:1" x14ac:dyDescent="0.35">
      <c r="A593" s="25"/>
    </row>
    <row r="594" spans="1:1" x14ac:dyDescent="0.35">
      <c r="A594" s="25"/>
    </row>
    <row r="595" spans="1:1" x14ac:dyDescent="0.35">
      <c r="A595" s="25"/>
    </row>
    <row r="596" spans="1:1" x14ac:dyDescent="0.35">
      <c r="A596" s="25"/>
    </row>
    <row r="597" spans="1:1" x14ac:dyDescent="0.35">
      <c r="A597" s="25"/>
    </row>
    <row r="598" spans="1:1" x14ac:dyDescent="0.35">
      <c r="A598" s="25"/>
    </row>
    <row r="599" spans="1:1" x14ac:dyDescent="0.35">
      <c r="A599" s="25"/>
    </row>
    <row r="600" spans="1:1" x14ac:dyDescent="0.35">
      <c r="A600" s="25"/>
    </row>
    <row r="601" spans="1:1" x14ac:dyDescent="0.35">
      <c r="A601" s="25"/>
    </row>
    <row r="602" spans="1:1" x14ac:dyDescent="0.35">
      <c r="A602" s="25"/>
    </row>
    <row r="603" spans="1:1" x14ac:dyDescent="0.35">
      <c r="A603" s="25"/>
    </row>
    <row r="604" spans="1:1" x14ac:dyDescent="0.35">
      <c r="A604" s="25"/>
    </row>
    <row r="605" spans="1:1" x14ac:dyDescent="0.35">
      <c r="A605" s="25"/>
    </row>
    <row r="606" spans="1:1" x14ac:dyDescent="0.35">
      <c r="A606" s="25"/>
    </row>
    <row r="607" spans="1:1" x14ac:dyDescent="0.35">
      <c r="A607" s="25"/>
    </row>
    <row r="608" spans="1:1" x14ac:dyDescent="0.35">
      <c r="A608" s="25"/>
    </row>
    <row r="609" spans="1:1" x14ac:dyDescent="0.35">
      <c r="A609" s="25"/>
    </row>
    <row r="610" spans="1:1" x14ac:dyDescent="0.35">
      <c r="A610" s="25"/>
    </row>
    <row r="611" spans="1:1" x14ac:dyDescent="0.35">
      <c r="A611" s="25"/>
    </row>
    <row r="612" spans="1:1" x14ac:dyDescent="0.35">
      <c r="A612" s="25"/>
    </row>
    <row r="613" spans="1:1" x14ac:dyDescent="0.35">
      <c r="A613" s="25"/>
    </row>
    <row r="614" spans="1:1" x14ac:dyDescent="0.35">
      <c r="A614" s="25"/>
    </row>
    <row r="615" spans="1:1" x14ac:dyDescent="0.35">
      <c r="A615" s="25"/>
    </row>
    <row r="616" spans="1:1" x14ac:dyDescent="0.35">
      <c r="A616" s="25"/>
    </row>
    <row r="617" spans="1:1" x14ac:dyDescent="0.35">
      <c r="A617" s="25"/>
    </row>
    <row r="618" spans="1:1" x14ac:dyDescent="0.35">
      <c r="A618" s="25"/>
    </row>
    <row r="619" spans="1:1" x14ac:dyDescent="0.35">
      <c r="A619" s="25"/>
    </row>
    <row r="620" spans="1:1" x14ac:dyDescent="0.35">
      <c r="A620" s="25"/>
    </row>
    <row r="621" spans="1:1" x14ac:dyDescent="0.35">
      <c r="A621" s="25"/>
    </row>
    <row r="622" spans="1:1" x14ac:dyDescent="0.35">
      <c r="A622" s="25"/>
    </row>
    <row r="623" spans="1:1" x14ac:dyDescent="0.35">
      <c r="A623" s="25"/>
    </row>
    <row r="624" spans="1:1" x14ac:dyDescent="0.35">
      <c r="A624" s="25"/>
    </row>
    <row r="625" spans="1:1" x14ac:dyDescent="0.35">
      <c r="A625" s="25"/>
    </row>
    <row r="626" spans="1:1" x14ac:dyDescent="0.35">
      <c r="A626" s="25"/>
    </row>
    <row r="627" spans="1:1" x14ac:dyDescent="0.35">
      <c r="A627" s="25"/>
    </row>
    <row r="628" spans="1:1" x14ac:dyDescent="0.35">
      <c r="A628" s="25"/>
    </row>
    <row r="629" spans="1:1" x14ac:dyDescent="0.35">
      <c r="A629" s="25"/>
    </row>
    <row r="630" spans="1:1" x14ac:dyDescent="0.35">
      <c r="A630" s="25"/>
    </row>
    <row r="631" spans="1:1" x14ac:dyDescent="0.35">
      <c r="A631" s="25"/>
    </row>
    <row r="632" spans="1:1" x14ac:dyDescent="0.35">
      <c r="A632" s="25"/>
    </row>
    <row r="633" spans="1:1" x14ac:dyDescent="0.35">
      <c r="A633" s="25"/>
    </row>
    <row r="634" spans="1:1" x14ac:dyDescent="0.35">
      <c r="A634" s="25"/>
    </row>
    <row r="635" spans="1:1" x14ac:dyDescent="0.35">
      <c r="A635" s="25"/>
    </row>
    <row r="636" spans="1:1" x14ac:dyDescent="0.35">
      <c r="A636" s="25"/>
    </row>
    <row r="637" spans="1:1" x14ac:dyDescent="0.35">
      <c r="A637" s="25"/>
    </row>
    <row r="638" spans="1:1" x14ac:dyDescent="0.35">
      <c r="A638" s="25"/>
    </row>
    <row r="639" spans="1:1" x14ac:dyDescent="0.35">
      <c r="A639" s="25"/>
    </row>
    <row r="640" spans="1:1" x14ac:dyDescent="0.35">
      <c r="A640" s="25"/>
    </row>
    <row r="641" spans="1:1" x14ac:dyDescent="0.35">
      <c r="A641" s="25"/>
    </row>
    <row r="642" spans="1:1" x14ac:dyDescent="0.35">
      <c r="A642" s="25"/>
    </row>
    <row r="643" spans="1:1" x14ac:dyDescent="0.35">
      <c r="A643" s="25"/>
    </row>
    <row r="644" spans="1:1" x14ac:dyDescent="0.35">
      <c r="A644" s="25"/>
    </row>
    <row r="645" spans="1:1" x14ac:dyDescent="0.35">
      <c r="A645" s="25"/>
    </row>
    <row r="646" spans="1:1" x14ac:dyDescent="0.35">
      <c r="A646" s="25"/>
    </row>
    <row r="647" spans="1:1" x14ac:dyDescent="0.35">
      <c r="A647" s="25"/>
    </row>
    <row r="648" spans="1:1" x14ac:dyDescent="0.35">
      <c r="A648" s="25"/>
    </row>
    <row r="649" spans="1:1" x14ac:dyDescent="0.35">
      <c r="A649" s="25"/>
    </row>
    <row r="650" spans="1:1" x14ac:dyDescent="0.35">
      <c r="A650" s="25"/>
    </row>
    <row r="651" spans="1:1" x14ac:dyDescent="0.35">
      <c r="A651" s="25"/>
    </row>
    <row r="652" spans="1:1" x14ac:dyDescent="0.35">
      <c r="A652" s="25"/>
    </row>
    <row r="653" spans="1:1" x14ac:dyDescent="0.35">
      <c r="A653" s="25"/>
    </row>
    <row r="654" spans="1:1" x14ac:dyDescent="0.35">
      <c r="A654" s="25"/>
    </row>
    <row r="655" spans="1:1" x14ac:dyDescent="0.35">
      <c r="A655" s="25"/>
    </row>
    <row r="656" spans="1:1" x14ac:dyDescent="0.35">
      <c r="A656" s="25"/>
    </row>
    <row r="657" spans="1:1" x14ac:dyDescent="0.35">
      <c r="A657" s="25"/>
    </row>
    <row r="658" spans="1:1" x14ac:dyDescent="0.35">
      <c r="A658" s="25"/>
    </row>
    <row r="659" spans="1:1" x14ac:dyDescent="0.35">
      <c r="A659" s="25"/>
    </row>
    <row r="660" spans="1:1" x14ac:dyDescent="0.35">
      <c r="A660" s="25"/>
    </row>
    <row r="661" spans="1:1" x14ac:dyDescent="0.35">
      <c r="A661" s="25"/>
    </row>
    <row r="662" spans="1:1" x14ac:dyDescent="0.35">
      <c r="A662" s="25"/>
    </row>
    <row r="663" spans="1:1" x14ac:dyDescent="0.35">
      <c r="A663" s="25"/>
    </row>
    <row r="664" spans="1:1" x14ac:dyDescent="0.35">
      <c r="A664" s="25"/>
    </row>
    <row r="665" spans="1:1" x14ac:dyDescent="0.35">
      <c r="A665" s="25"/>
    </row>
    <row r="666" spans="1:1" x14ac:dyDescent="0.35">
      <c r="A666" s="25"/>
    </row>
    <row r="667" spans="1:1" x14ac:dyDescent="0.35">
      <c r="A667" s="25"/>
    </row>
    <row r="668" spans="1:1" x14ac:dyDescent="0.35">
      <c r="A668" s="25"/>
    </row>
    <row r="669" spans="1:1" x14ac:dyDescent="0.35">
      <c r="A669" s="25"/>
    </row>
    <row r="670" spans="1:1" x14ac:dyDescent="0.35">
      <c r="A670" s="25"/>
    </row>
    <row r="671" spans="1:1" x14ac:dyDescent="0.35">
      <c r="A671" s="25"/>
    </row>
    <row r="672" spans="1:1" x14ac:dyDescent="0.35">
      <c r="A672" s="25"/>
    </row>
    <row r="673" spans="1:1" x14ac:dyDescent="0.35">
      <c r="A673" s="25"/>
    </row>
    <row r="674" spans="1:1" x14ac:dyDescent="0.35">
      <c r="A674" s="25"/>
    </row>
    <row r="675" spans="1:1" x14ac:dyDescent="0.35">
      <c r="A675" s="25"/>
    </row>
    <row r="676" spans="1:1" x14ac:dyDescent="0.35">
      <c r="A676" s="25"/>
    </row>
    <row r="677" spans="1:1" x14ac:dyDescent="0.35">
      <c r="A677" s="25"/>
    </row>
    <row r="678" spans="1:1" x14ac:dyDescent="0.35">
      <c r="A678" s="25"/>
    </row>
    <row r="679" spans="1:1" x14ac:dyDescent="0.35">
      <c r="A679" s="25"/>
    </row>
    <row r="680" spans="1:1" x14ac:dyDescent="0.35">
      <c r="A680" s="25"/>
    </row>
    <row r="681" spans="1:1" x14ac:dyDescent="0.35">
      <c r="A681" s="25"/>
    </row>
    <row r="682" spans="1:1" x14ac:dyDescent="0.35">
      <c r="A682" s="25"/>
    </row>
    <row r="683" spans="1:1" x14ac:dyDescent="0.35">
      <c r="A683" s="25"/>
    </row>
    <row r="684" spans="1:1" x14ac:dyDescent="0.35">
      <c r="A684" s="25"/>
    </row>
    <row r="685" spans="1:1" x14ac:dyDescent="0.35">
      <c r="A685" s="25"/>
    </row>
    <row r="686" spans="1:1" x14ac:dyDescent="0.35">
      <c r="A686" s="25"/>
    </row>
    <row r="687" spans="1:1" x14ac:dyDescent="0.35">
      <c r="A687" s="25"/>
    </row>
    <row r="688" spans="1:1" x14ac:dyDescent="0.35">
      <c r="A688" s="25"/>
    </row>
    <row r="689" spans="1:1" x14ac:dyDescent="0.35">
      <c r="A689" s="25"/>
    </row>
    <row r="690" spans="1:1" x14ac:dyDescent="0.35">
      <c r="A690" s="25"/>
    </row>
    <row r="691" spans="1:1" x14ac:dyDescent="0.35">
      <c r="A691" s="25"/>
    </row>
    <row r="692" spans="1:1" x14ac:dyDescent="0.35">
      <c r="A692" s="25"/>
    </row>
    <row r="693" spans="1:1" x14ac:dyDescent="0.35">
      <c r="A693" s="25"/>
    </row>
    <row r="694" spans="1:1" x14ac:dyDescent="0.35">
      <c r="A694" s="25"/>
    </row>
    <row r="695" spans="1:1" x14ac:dyDescent="0.35">
      <c r="A695" s="25"/>
    </row>
    <row r="696" spans="1:1" x14ac:dyDescent="0.35">
      <c r="A696" s="25"/>
    </row>
    <row r="697" spans="1:1" x14ac:dyDescent="0.35">
      <c r="A697" s="25"/>
    </row>
    <row r="698" spans="1:1" x14ac:dyDescent="0.35">
      <c r="A698" s="25"/>
    </row>
    <row r="699" spans="1:1" x14ac:dyDescent="0.35">
      <c r="A699" s="25"/>
    </row>
    <row r="700" spans="1:1" x14ac:dyDescent="0.35">
      <c r="A700" s="25"/>
    </row>
    <row r="701" spans="1:1" x14ac:dyDescent="0.35">
      <c r="A701" s="25"/>
    </row>
    <row r="702" spans="1:1" x14ac:dyDescent="0.35">
      <c r="A702" s="25"/>
    </row>
    <row r="703" spans="1:1" x14ac:dyDescent="0.35">
      <c r="A703" s="25"/>
    </row>
    <row r="704" spans="1:1" x14ac:dyDescent="0.35">
      <c r="A704" s="25"/>
    </row>
    <row r="705" spans="1:1" x14ac:dyDescent="0.35">
      <c r="A705" s="25"/>
    </row>
    <row r="706" spans="1:1" x14ac:dyDescent="0.35">
      <c r="A706" s="25"/>
    </row>
    <row r="707" spans="1:1" x14ac:dyDescent="0.35">
      <c r="A707" s="25"/>
    </row>
    <row r="708" spans="1:1" x14ac:dyDescent="0.35">
      <c r="A708" s="25"/>
    </row>
    <row r="709" spans="1:1" x14ac:dyDescent="0.35">
      <c r="A709" s="25"/>
    </row>
    <row r="710" spans="1:1" x14ac:dyDescent="0.35">
      <c r="A710" s="25"/>
    </row>
    <row r="711" spans="1:1" x14ac:dyDescent="0.35">
      <c r="A711" s="25"/>
    </row>
    <row r="712" spans="1:1" x14ac:dyDescent="0.35">
      <c r="A712" s="25"/>
    </row>
    <row r="713" spans="1:1" x14ac:dyDescent="0.35">
      <c r="A713" s="25"/>
    </row>
    <row r="714" spans="1:1" x14ac:dyDescent="0.35">
      <c r="A714" s="25"/>
    </row>
    <row r="715" spans="1:1" x14ac:dyDescent="0.35">
      <c r="A715" s="25"/>
    </row>
    <row r="716" spans="1:1" x14ac:dyDescent="0.35">
      <c r="A716" s="25"/>
    </row>
    <row r="717" spans="1:1" x14ac:dyDescent="0.35">
      <c r="A717" s="25"/>
    </row>
    <row r="718" spans="1:1" x14ac:dyDescent="0.35">
      <c r="A718" s="25"/>
    </row>
    <row r="719" spans="1:1" x14ac:dyDescent="0.35">
      <c r="A719" s="25"/>
    </row>
    <row r="720" spans="1:1" x14ac:dyDescent="0.35">
      <c r="A720" s="25"/>
    </row>
    <row r="721" spans="1:1" x14ac:dyDescent="0.35">
      <c r="A721" s="25"/>
    </row>
    <row r="722" spans="1:1" x14ac:dyDescent="0.35">
      <c r="A722" s="25"/>
    </row>
    <row r="723" spans="1:1" x14ac:dyDescent="0.35">
      <c r="A723" s="25"/>
    </row>
    <row r="724" spans="1:1" x14ac:dyDescent="0.35">
      <c r="A724" s="25"/>
    </row>
    <row r="725" spans="1:1" x14ac:dyDescent="0.35">
      <c r="A725" s="25"/>
    </row>
    <row r="726" spans="1:1" x14ac:dyDescent="0.35">
      <c r="A726" s="25"/>
    </row>
    <row r="727" spans="1:1" x14ac:dyDescent="0.35">
      <c r="A727" s="25"/>
    </row>
    <row r="728" spans="1:1" x14ac:dyDescent="0.35">
      <c r="A728" s="25"/>
    </row>
    <row r="729" spans="1:1" x14ac:dyDescent="0.35">
      <c r="A729" s="25"/>
    </row>
    <row r="730" spans="1:1" x14ac:dyDescent="0.35">
      <c r="A730" s="25"/>
    </row>
    <row r="731" spans="1:1" x14ac:dyDescent="0.35">
      <c r="A731" s="25"/>
    </row>
    <row r="732" spans="1:1" x14ac:dyDescent="0.35">
      <c r="A732" s="25"/>
    </row>
    <row r="733" spans="1:1" x14ac:dyDescent="0.35">
      <c r="A733" s="25"/>
    </row>
    <row r="734" spans="1:1" x14ac:dyDescent="0.35">
      <c r="A734" s="25"/>
    </row>
    <row r="735" spans="1:1" x14ac:dyDescent="0.35">
      <c r="A735" s="25"/>
    </row>
    <row r="736" spans="1:1" x14ac:dyDescent="0.35">
      <c r="A736" s="25"/>
    </row>
    <row r="737" spans="1:1" x14ac:dyDescent="0.35">
      <c r="A737" s="25"/>
    </row>
    <row r="738" spans="1:1" x14ac:dyDescent="0.35">
      <c r="A738" s="25"/>
    </row>
    <row r="739" spans="1:1" x14ac:dyDescent="0.35">
      <c r="A739" s="25"/>
    </row>
    <row r="740" spans="1:1" x14ac:dyDescent="0.35">
      <c r="A740" s="25"/>
    </row>
    <row r="741" spans="1:1" x14ac:dyDescent="0.35">
      <c r="A741" s="25"/>
    </row>
    <row r="742" spans="1:1" x14ac:dyDescent="0.35">
      <c r="A742" s="25"/>
    </row>
    <row r="743" spans="1:1" x14ac:dyDescent="0.35">
      <c r="A743" s="25"/>
    </row>
    <row r="744" spans="1:1" x14ac:dyDescent="0.35">
      <c r="A744" s="25"/>
    </row>
    <row r="745" spans="1:1" x14ac:dyDescent="0.35">
      <c r="A745" s="25"/>
    </row>
    <row r="746" spans="1:1" x14ac:dyDescent="0.35">
      <c r="A746" s="25"/>
    </row>
    <row r="747" spans="1:1" x14ac:dyDescent="0.35">
      <c r="A747" s="25"/>
    </row>
    <row r="748" spans="1:1" x14ac:dyDescent="0.35">
      <c r="A748" s="25"/>
    </row>
    <row r="749" spans="1:1" x14ac:dyDescent="0.35">
      <c r="A749" s="25"/>
    </row>
    <row r="750" spans="1:1" x14ac:dyDescent="0.35">
      <c r="A750" s="25"/>
    </row>
    <row r="751" spans="1:1" x14ac:dyDescent="0.35">
      <c r="A751" s="25"/>
    </row>
    <row r="752" spans="1:1" x14ac:dyDescent="0.35">
      <c r="A752" s="25"/>
    </row>
    <row r="753" spans="1:1" x14ac:dyDescent="0.35">
      <c r="A753" s="25"/>
    </row>
    <row r="754" spans="1:1" x14ac:dyDescent="0.35">
      <c r="A754" s="25"/>
    </row>
    <row r="755" spans="1:1" x14ac:dyDescent="0.35">
      <c r="A755" s="25"/>
    </row>
    <row r="756" spans="1:1" x14ac:dyDescent="0.35">
      <c r="A756" s="25"/>
    </row>
    <row r="757" spans="1:1" x14ac:dyDescent="0.35">
      <c r="A757" s="25"/>
    </row>
    <row r="758" spans="1:1" x14ac:dyDescent="0.35">
      <c r="A758" s="25"/>
    </row>
    <row r="759" spans="1:1" x14ac:dyDescent="0.35">
      <c r="A759" s="25"/>
    </row>
    <row r="760" spans="1:1" x14ac:dyDescent="0.35">
      <c r="A760" s="25"/>
    </row>
    <row r="761" spans="1:1" x14ac:dyDescent="0.35">
      <c r="A761" s="25"/>
    </row>
    <row r="762" spans="1:1" x14ac:dyDescent="0.35">
      <c r="A762" s="25"/>
    </row>
    <row r="763" spans="1:1" x14ac:dyDescent="0.35">
      <c r="A763" s="25"/>
    </row>
    <row r="764" spans="1:1" x14ac:dyDescent="0.35">
      <c r="A764" s="25"/>
    </row>
    <row r="765" spans="1:1" x14ac:dyDescent="0.35">
      <c r="A765" s="25"/>
    </row>
    <row r="766" spans="1:1" x14ac:dyDescent="0.35">
      <c r="A766" s="25"/>
    </row>
    <row r="767" spans="1:1" x14ac:dyDescent="0.35">
      <c r="A767" s="25"/>
    </row>
    <row r="768" spans="1:1" x14ac:dyDescent="0.35">
      <c r="A768" s="25"/>
    </row>
    <row r="769" spans="1:1" x14ac:dyDescent="0.35">
      <c r="A769" s="25"/>
    </row>
    <row r="770" spans="1:1" x14ac:dyDescent="0.35">
      <c r="A770" s="25"/>
    </row>
    <row r="771" spans="1:1" x14ac:dyDescent="0.35">
      <c r="A771" s="25"/>
    </row>
    <row r="772" spans="1:1" x14ac:dyDescent="0.35">
      <c r="A772" s="25"/>
    </row>
    <row r="773" spans="1:1" x14ac:dyDescent="0.35">
      <c r="A773" s="25"/>
    </row>
    <row r="774" spans="1:1" x14ac:dyDescent="0.35">
      <c r="A774" s="25"/>
    </row>
    <row r="775" spans="1:1" x14ac:dyDescent="0.35">
      <c r="A775" s="25"/>
    </row>
    <row r="776" spans="1:1" x14ac:dyDescent="0.35">
      <c r="A776" s="25"/>
    </row>
    <row r="777" spans="1:1" x14ac:dyDescent="0.35">
      <c r="A777" s="25"/>
    </row>
    <row r="778" spans="1:1" x14ac:dyDescent="0.35">
      <c r="A778" s="25"/>
    </row>
    <row r="779" spans="1:1" x14ac:dyDescent="0.35">
      <c r="A779" s="25"/>
    </row>
    <row r="780" spans="1:1" x14ac:dyDescent="0.35">
      <c r="A780" s="25"/>
    </row>
    <row r="781" spans="1:1" x14ac:dyDescent="0.35">
      <c r="A781" s="25"/>
    </row>
    <row r="782" spans="1:1" x14ac:dyDescent="0.35">
      <c r="A782" s="25"/>
    </row>
    <row r="783" spans="1:1" x14ac:dyDescent="0.35">
      <c r="A783" s="25"/>
    </row>
    <row r="784" spans="1:1" x14ac:dyDescent="0.35">
      <c r="A784" s="25"/>
    </row>
    <row r="785" spans="1:1" x14ac:dyDescent="0.35">
      <c r="A785" s="25"/>
    </row>
    <row r="786" spans="1:1" x14ac:dyDescent="0.35">
      <c r="A786" s="25"/>
    </row>
    <row r="787" spans="1:1" x14ac:dyDescent="0.35">
      <c r="A787" s="25"/>
    </row>
    <row r="788" spans="1:1" x14ac:dyDescent="0.35">
      <c r="A788" s="25"/>
    </row>
    <row r="789" spans="1:1" x14ac:dyDescent="0.35">
      <c r="A789" s="25"/>
    </row>
    <row r="790" spans="1:1" x14ac:dyDescent="0.35">
      <c r="A790" s="25"/>
    </row>
    <row r="791" spans="1:1" x14ac:dyDescent="0.35">
      <c r="A791" s="25"/>
    </row>
    <row r="792" spans="1:1" x14ac:dyDescent="0.35">
      <c r="A792" s="25"/>
    </row>
    <row r="793" spans="1:1" x14ac:dyDescent="0.35">
      <c r="A793" s="25"/>
    </row>
    <row r="794" spans="1:1" x14ac:dyDescent="0.35">
      <c r="A794" s="25"/>
    </row>
    <row r="795" spans="1:1" x14ac:dyDescent="0.35">
      <c r="A795" s="25"/>
    </row>
    <row r="796" spans="1:1" x14ac:dyDescent="0.35">
      <c r="A796" s="25"/>
    </row>
    <row r="797" spans="1:1" x14ac:dyDescent="0.35">
      <c r="A797" s="25"/>
    </row>
    <row r="798" spans="1:1" x14ac:dyDescent="0.35">
      <c r="A798" s="25"/>
    </row>
    <row r="799" spans="1:1" x14ac:dyDescent="0.35">
      <c r="A799" s="25"/>
    </row>
    <row r="800" spans="1:1" x14ac:dyDescent="0.35">
      <c r="A800" s="25"/>
    </row>
    <row r="801" spans="1:1" x14ac:dyDescent="0.35">
      <c r="A801" s="25"/>
    </row>
    <row r="802" spans="1:1" x14ac:dyDescent="0.35">
      <c r="A802" s="25"/>
    </row>
    <row r="803" spans="1:1" x14ac:dyDescent="0.35">
      <c r="A803" s="25"/>
    </row>
    <row r="804" spans="1:1" x14ac:dyDescent="0.35">
      <c r="A804" s="25"/>
    </row>
    <row r="805" spans="1:1" x14ac:dyDescent="0.35">
      <c r="A805" s="25"/>
    </row>
    <row r="806" spans="1:1" x14ac:dyDescent="0.35">
      <c r="A806" s="25"/>
    </row>
    <row r="807" spans="1:1" x14ac:dyDescent="0.35">
      <c r="A807" s="25"/>
    </row>
    <row r="808" spans="1:1" x14ac:dyDescent="0.35">
      <c r="A808" s="25"/>
    </row>
    <row r="809" spans="1:1" x14ac:dyDescent="0.35">
      <c r="A809" s="25"/>
    </row>
    <row r="810" spans="1:1" x14ac:dyDescent="0.35">
      <c r="A810" s="25"/>
    </row>
    <row r="811" spans="1:1" x14ac:dyDescent="0.35">
      <c r="A811" s="25"/>
    </row>
    <row r="812" spans="1:1" x14ac:dyDescent="0.35">
      <c r="A812" s="25"/>
    </row>
    <row r="813" spans="1:1" x14ac:dyDescent="0.35">
      <c r="A813" s="25"/>
    </row>
    <row r="814" spans="1:1" x14ac:dyDescent="0.35">
      <c r="A814" s="25"/>
    </row>
    <row r="815" spans="1:1" x14ac:dyDescent="0.35">
      <c r="A815" s="25"/>
    </row>
    <row r="816" spans="1:1" x14ac:dyDescent="0.35">
      <c r="A816" s="25"/>
    </row>
    <row r="817" spans="1:1" x14ac:dyDescent="0.35">
      <c r="A817" s="25"/>
    </row>
    <row r="818" spans="1:1" x14ac:dyDescent="0.35">
      <c r="A818" s="25"/>
    </row>
    <row r="819" spans="1:1" x14ac:dyDescent="0.35">
      <c r="A819" s="25"/>
    </row>
    <row r="820" spans="1:1" x14ac:dyDescent="0.35">
      <c r="A820" s="25"/>
    </row>
    <row r="821" spans="1:1" x14ac:dyDescent="0.35">
      <c r="A821" s="25"/>
    </row>
    <row r="822" spans="1:1" x14ac:dyDescent="0.35">
      <c r="A822" s="25"/>
    </row>
    <row r="823" spans="1:1" x14ac:dyDescent="0.35">
      <c r="A823" s="25"/>
    </row>
    <row r="824" spans="1:1" x14ac:dyDescent="0.35">
      <c r="A824" s="25"/>
    </row>
    <row r="825" spans="1:1" x14ac:dyDescent="0.35">
      <c r="A825" s="25"/>
    </row>
    <row r="826" spans="1:1" x14ac:dyDescent="0.35">
      <c r="A826" s="25"/>
    </row>
    <row r="827" spans="1:1" x14ac:dyDescent="0.35">
      <c r="A827" s="25"/>
    </row>
    <row r="828" spans="1:1" x14ac:dyDescent="0.35">
      <c r="A828" s="25"/>
    </row>
    <row r="829" spans="1:1" x14ac:dyDescent="0.35">
      <c r="A829" s="25"/>
    </row>
    <row r="830" spans="1:1" x14ac:dyDescent="0.35">
      <c r="A830" s="25"/>
    </row>
    <row r="831" spans="1:1" x14ac:dyDescent="0.35">
      <c r="A831" s="25"/>
    </row>
    <row r="832" spans="1:1" x14ac:dyDescent="0.35">
      <c r="A832" s="25"/>
    </row>
    <row r="833" spans="1:1" x14ac:dyDescent="0.35">
      <c r="A833" s="25"/>
    </row>
    <row r="834" spans="1:1" x14ac:dyDescent="0.35">
      <c r="A834" s="25"/>
    </row>
    <row r="835" spans="1:1" x14ac:dyDescent="0.35">
      <c r="A835" s="25"/>
    </row>
    <row r="836" spans="1:1" x14ac:dyDescent="0.35">
      <c r="A836" s="25"/>
    </row>
    <row r="837" spans="1:1" x14ac:dyDescent="0.35">
      <c r="A837" s="25"/>
    </row>
    <row r="838" spans="1:1" x14ac:dyDescent="0.35">
      <c r="A838" s="25"/>
    </row>
    <row r="839" spans="1:1" x14ac:dyDescent="0.35">
      <c r="A839" s="25"/>
    </row>
    <row r="840" spans="1:1" x14ac:dyDescent="0.35">
      <c r="A840" s="25"/>
    </row>
    <row r="841" spans="1:1" x14ac:dyDescent="0.35">
      <c r="A841" s="25"/>
    </row>
    <row r="842" spans="1:1" x14ac:dyDescent="0.35">
      <c r="A842" s="25"/>
    </row>
    <row r="843" spans="1:1" x14ac:dyDescent="0.35">
      <c r="A843" s="25"/>
    </row>
    <row r="844" spans="1:1" x14ac:dyDescent="0.35">
      <c r="A844" s="25"/>
    </row>
    <row r="845" spans="1:1" x14ac:dyDescent="0.35">
      <c r="A845" s="25"/>
    </row>
    <row r="846" spans="1:1" x14ac:dyDescent="0.35">
      <c r="A846" s="25"/>
    </row>
    <row r="847" spans="1:1" x14ac:dyDescent="0.35">
      <c r="A847" s="25"/>
    </row>
    <row r="848" spans="1:1" x14ac:dyDescent="0.35">
      <c r="A848" s="25"/>
    </row>
    <row r="849" spans="1:1" x14ac:dyDescent="0.35">
      <c r="A849" s="25"/>
    </row>
    <row r="850" spans="1:1" x14ac:dyDescent="0.35">
      <c r="A850" s="25"/>
    </row>
    <row r="851" spans="1:1" x14ac:dyDescent="0.35">
      <c r="A851" s="25"/>
    </row>
    <row r="852" spans="1:1" x14ac:dyDescent="0.35">
      <c r="A852" s="25"/>
    </row>
    <row r="853" spans="1:1" x14ac:dyDescent="0.35">
      <c r="A853" s="25"/>
    </row>
    <row r="854" spans="1:1" x14ac:dyDescent="0.35">
      <c r="A854" s="25"/>
    </row>
    <row r="855" spans="1:1" x14ac:dyDescent="0.35">
      <c r="A855" s="25"/>
    </row>
    <row r="856" spans="1:1" x14ac:dyDescent="0.35">
      <c r="A856" s="25"/>
    </row>
    <row r="857" spans="1:1" x14ac:dyDescent="0.35">
      <c r="A857" s="25"/>
    </row>
    <row r="858" spans="1:1" x14ac:dyDescent="0.35">
      <c r="A858" s="25"/>
    </row>
    <row r="859" spans="1:1" x14ac:dyDescent="0.35">
      <c r="A859" s="25"/>
    </row>
    <row r="860" spans="1:1" x14ac:dyDescent="0.35">
      <c r="A860" s="25"/>
    </row>
    <row r="861" spans="1:1" x14ac:dyDescent="0.35">
      <c r="A861" s="25"/>
    </row>
    <row r="862" spans="1:1" x14ac:dyDescent="0.35">
      <c r="A862" s="25"/>
    </row>
    <row r="863" spans="1:1" x14ac:dyDescent="0.35">
      <c r="A863" s="25"/>
    </row>
    <row r="864" spans="1:1" x14ac:dyDescent="0.35">
      <c r="A864" s="25"/>
    </row>
    <row r="865" spans="1:1" x14ac:dyDescent="0.35">
      <c r="A865" s="25"/>
    </row>
    <row r="866" spans="1:1" x14ac:dyDescent="0.35">
      <c r="A866" s="25"/>
    </row>
    <row r="867" spans="1:1" x14ac:dyDescent="0.35">
      <c r="A867" s="25"/>
    </row>
    <row r="868" spans="1:1" x14ac:dyDescent="0.35">
      <c r="A868" s="25"/>
    </row>
    <row r="869" spans="1:1" x14ac:dyDescent="0.35">
      <c r="A869" s="25"/>
    </row>
    <row r="870" spans="1:1" x14ac:dyDescent="0.35">
      <c r="A870" s="25"/>
    </row>
    <row r="871" spans="1:1" x14ac:dyDescent="0.35">
      <c r="A871" s="25"/>
    </row>
    <row r="872" spans="1:1" x14ac:dyDescent="0.35">
      <c r="A872" s="25"/>
    </row>
    <row r="873" spans="1:1" x14ac:dyDescent="0.35">
      <c r="A873" s="25"/>
    </row>
    <row r="874" spans="1:1" x14ac:dyDescent="0.35">
      <c r="A874" s="25"/>
    </row>
    <row r="875" spans="1:1" x14ac:dyDescent="0.35">
      <c r="A875" s="25"/>
    </row>
    <row r="876" spans="1:1" x14ac:dyDescent="0.35">
      <c r="A876" s="25"/>
    </row>
    <row r="877" spans="1:1" x14ac:dyDescent="0.35">
      <c r="A877" s="25"/>
    </row>
    <row r="878" spans="1:1" x14ac:dyDescent="0.35">
      <c r="A878" s="25"/>
    </row>
    <row r="879" spans="1:1" x14ac:dyDescent="0.35">
      <c r="A879" s="25"/>
    </row>
    <row r="880" spans="1:1" x14ac:dyDescent="0.35">
      <c r="A880" s="25"/>
    </row>
    <row r="881" spans="1:1" x14ac:dyDescent="0.35">
      <c r="A881" s="25"/>
    </row>
    <row r="882" spans="1:1" x14ac:dyDescent="0.35">
      <c r="A882" s="25"/>
    </row>
    <row r="883" spans="1:1" x14ac:dyDescent="0.35">
      <c r="A883" s="25"/>
    </row>
    <row r="884" spans="1:1" x14ac:dyDescent="0.35">
      <c r="A884" s="25"/>
    </row>
    <row r="885" spans="1:1" x14ac:dyDescent="0.35">
      <c r="A885" s="25"/>
    </row>
    <row r="886" spans="1:1" x14ac:dyDescent="0.35">
      <c r="A886" s="25"/>
    </row>
    <row r="887" spans="1:1" x14ac:dyDescent="0.35">
      <c r="A887" s="25"/>
    </row>
    <row r="888" spans="1:1" x14ac:dyDescent="0.35">
      <c r="A888" s="25"/>
    </row>
    <row r="889" spans="1:1" x14ac:dyDescent="0.35">
      <c r="A889" s="25"/>
    </row>
    <row r="890" spans="1:1" x14ac:dyDescent="0.35">
      <c r="A890" s="25"/>
    </row>
    <row r="891" spans="1:1" x14ac:dyDescent="0.35">
      <c r="A891" s="25"/>
    </row>
    <row r="892" spans="1:1" x14ac:dyDescent="0.35">
      <c r="A892" s="25"/>
    </row>
    <row r="893" spans="1:1" x14ac:dyDescent="0.35">
      <c r="A893" s="25"/>
    </row>
    <row r="894" spans="1:1" x14ac:dyDescent="0.35">
      <c r="A894" s="25"/>
    </row>
    <row r="895" spans="1:1" x14ac:dyDescent="0.35">
      <c r="A895" s="25"/>
    </row>
    <row r="896" spans="1:1" x14ac:dyDescent="0.35">
      <c r="A896" s="25"/>
    </row>
    <row r="897" spans="1:1" x14ac:dyDescent="0.35">
      <c r="A897" s="25"/>
    </row>
    <row r="898" spans="1:1" x14ac:dyDescent="0.35">
      <c r="A898" s="25"/>
    </row>
    <row r="899" spans="1:1" x14ac:dyDescent="0.35">
      <c r="A899" s="25"/>
    </row>
    <row r="900" spans="1:1" x14ac:dyDescent="0.35">
      <c r="A900" s="25"/>
    </row>
    <row r="901" spans="1:1" x14ac:dyDescent="0.35">
      <c r="A901" s="25"/>
    </row>
    <row r="902" spans="1:1" x14ac:dyDescent="0.35">
      <c r="A902" s="25"/>
    </row>
    <row r="903" spans="1:1" x14ac:dyDescent="0.35">
      <c r="A903" s="25"/>
    </row>
    <row r="904" spans="1:1" x14ac:dyDescent="0.35">
      <c r="A904" s="25"/>
    </row>
    <row r="905" spans="1:1" x14ac:dyDescent="0.35">
      <c r="A905" s="25"/>
    </row>
    <row r="906" spans="1:1" x14ac:dyDescent="0.35">
      <c r="A906" s="25"/>
    </row>
    <row r="907" spans="1:1" x14ac:dyDescent="0.35">
      <c r="A907" s="25"/>
    </row>
    <row r="908" spans="1:1" x14ac:dyDescent="0.35">
      <c r="A908" s="25"/>
    </row>
    <row r="909" spans="1:1" x14ac:dyDescent="0.35">
      <c r="A909" s="25"/>
    </row>
    <row r="910" spans="1:1" x14ac:dyDescent="0.35">
      <c r="A910" s="25"/>
    </row>
    <row r="911" spans="1:1" x14ac:dyDescent="0.35">
      <c r="A911" s="25"/>
    </row>
    <row r="912" spans="1:1" x14ac:dyDescent="0.35">
      <c r="A912" s="25"/>
    </row>
    <row r="913" spans="1:1" x14ac:dyDescent="0.35">
      <c r="A913" s="25"/>
    </row>
    <row r="914" spans="1:1" x14ac:dyDescent="0.35">
      <c r="A914" s="25"/>
    </row>
    <row r="915" spans="1:1" x14ac:dyDescent="0.35">
      <c r="A915" s="25"/>
    </row>
    <row r="916" spans="1:1" x14ac:dyDescent="0.35">
      <c r="A916" s="25"/>
    </row>
    <row r="917" spans="1:1" x14ac:dyDescent="0.35">
      <c r="A917" s="25"/>
    </row>
    <row r="918" spans="1:1" x14ac:dyDescent="0.35">
      <c r="A918" s="25"/>
    </row>
    <row r="919" spans="1:1" x14ac:dyDescent="0.35">
      <c r="A919" s="25"/>
    </row>
    <row r="920" spans="1:1" x14ac:dyDescent="0.35">
      <c r="A920" s="25"/>
    </row>
    <row r="921" spans="1:1" x14ac:dyDescent="0.35">
      <c r="A921" s="25"/>
    </row>
    <row r="922" spans="1:1" x14ac:dyDescent="0.35">
      <c r="A922" s="25"/>
    </row>
    <row r="923" spans="1:1" x14ac:dyDescent="0.35">
      <c r="A923" s="25"/>
    </row>
    <row r="924" spans="1:1" x14ac:dyDescent="0.35">
      <c r="A924" s="25"/>
    </row>
    <row r="925" spans="1:1" x14ac:dyDescent="0.35">
      <c r="A925" s="25"/>
    </row>
    <row r="926" spans="1:1" x14ac:dyDescent="0.35">
      <c r="A926" s="25"/>
    </row>
    <row r="927" spans="1:1" x14ac:dyDescent="0.35">
      <c r="A927" s="25"/>
    </row>
    <row r="928" spans="1:1" x14ac:dyDescent="0.35">
      <c r="A928" s="25"/>
    </row>
    <row r="929" spans="1:1" x14ac:dyDescent="0.35">
      <c r="A929" s="25"/>
    </row>
    <row r="930" spans="1:1" x14ac:dyDescent="0.35">
      <c r="A930" s="25"/>
    </row>
    <row r="931" spans="1:1" x14ac:dyDescent="0.35">
      <c r="A931" s="25"/>
    </row>
    <row r="932" spans="1:1" x14ac:dyDescent="0.35">
      <c r="A932" s="25"/>
    </row>
    <row r="933" spans="1:1" x14ac:dyDescent="0.35">
      <c r="A933" s="25"/>
    </row>
    <row r="934" spans="1:1" x14ac:dyDescent="0.35">
      <c r="A934" s="25"/>
    </row>
    <row r="935" spans="1:1" x14ac:dyDescent="0.35">
      <c r="A935" s="25"/>
    </row>
    <row r="936" spans="1:1" x14ac:dyDescent="0.35">
      <c r="A936" s="25"/>
    </row>
    <row r="937" spans="1:1" x14ac:dyDescent="0.35">
      <c r="A937" s="25"/>
    </row>
    <row r="938" spans="1:1" x14ac:dyDescent="0.35">
      <c r="A938" s="25"/>
    </row>
    <row r="939" spans="1:1" x14ac:dyDescent="0.35">
      <c r="A939" s="25"/>
    </row>
    <row r="940" spans="1:1" x14ac:dyDescent="0.35">
      <c r="A940" s="25"/>
    </row>
    <row r="941" spans="1:1" x14ac:dyDescent="0.35">
      <c r="A941" s="25"/>
    </row>
    <row r="942" spans="1:1" x14ac:dyDescent="0.35">
      <c r="A942" s="25"/>
    </row>
    <row r="943" spans="1:1" x14ac:dyDescent="0.35">
      <c r="A943" s="25"/>
    </row>
    <row r="944" spans="1:1" x14ac:dyDescent="0.35">
      <c r="A944" s="25"/>
    </row>
    <row r="945" spans="1:1" x14ac:dyDescent="0.35">
      <c r="A945" s="25"/>
    </row>
    <row r="946" spans="1:1" x14ac:dyDescent="0.35">
      <c r="A946" s="25"/>
    </row>
    <row r="947" spans="1:1" x14ac:dyDescent="0.35">
      <c r="A947" s="25"/>
    </row>
    <row r="948" spans="1:1" x14ac:dyDescent="0.35">
      <c r="A948" s="25"/>
    </row>
    <row r="949" spans="1:1" x14ac:dyDescent="0.35">
      <c r="A949" s="25"/>
    </row>
    <row r="950" spans="1:1" x14ac:dyDescent="0.35">
      <c r="A950" s="25"/>
    </row>
    <row r="951" spans="1:1" x14ac:dyDescent="0.35">
      <c r="A951" s="25"/>
    </row>
    <row r="952" spans="1:1" x14ac:dyDescent="0.35">
      <c r="A952" s="25"/>
    </row>
    <row r="953" spans="1:1" x14ac:dyDescent="0.35">
      <c r="A953" s="25"/>
    </row>
    <row r="954" spans="1:1" x14ac:dyDescent="0.35">
      <c r="A954" s="25"/>
    </row>
    <row r="955" spans="1:1" x14ac:dyDescent="0.35">
      <c r="A955" s="25"/>
    </row>
    <row r="956" spans="1:1" x14ac:dyDescent="0.35">
      <c r="A956" s="25"/>
    </row>
    <row r="957" spans="1:1" x14ac:dyDescent="0.35">
      <c r="A957" s="25"/>
    </row>
    <row r="958" spans="1:1" x14ac:dyDescent="0.35">
      <c r="A958" s="25"/>
    </row>
    <row r="959" spans="1:1" x14ac:dyDescent="0.35">
      <c r="A959" s="25"/>
    </row>
    <row r="960" spans="1:1" x14ac:dyDescent="0.35">
      <c r="A960" s="25"/>
    </row>
    <row r="961" spans="1:1" x14ac:dyDescent="0.35">
      <c r="A961" s="25"/>
    </row>
    <row r="962" spans="1:1" x14ac:dyDescent="0.35">
      <c r="A962" s="25"/>
    </row>
    <row r="963" spans="1:1" x14ac:dyDescent="0.35">
      <c r="A963" s="25"/>
    </row>
    <row r="964" spans="1:1" x14ac:dyDescent="0.35">
      <c r="A964" s="25"/>
    </row>
    <row r="965" spans="1:1" x14ac:dyDescent="0.35">
      <c r="A965" s="25"/>
    </row>
    <row r="966" spans="1:1" x14ac:dyDescent="0.35">
      <c r="A966" s="25"/>
    </row>
    <row r="967" spans="1:1" x14ac:dyDescent="0.35">
      <c r="A967" s="25"/>
    </row>
    <row r="968" spans="1:1" x14ac:dyDescent="0.35">
      <c r="A968" s="25"/>
    </row>
    <row r="969" spans="1:1" x14ac:dyDescent="0.35">
      <c r="A969" s="25"/>
    </row>
    <row r="970" spans="1:1" x14ac:dyDescent="0.35">
      <c r="A970" s="25"/>
    </row>
    <row r="971" spans="1:1" x14ac:dyDescent="0.35">
      <c r="A971" s="25"/>
    </row>
    <row r="972" spans="1:1" x14ac:dyDescent="0.35">
      <c r="A972" s="25"/>
    </row>
    <row r="973" spans="1:1" x14ac:dyDescent="0.35">
      <c r="A973" s="25"/>
    </row>
    <row r="974" spans="1:1" x14ac:dyDescent="0.35">
      <c r="A974" s="25"/>
    </row>
    <row r="975" spans="1:1" x14ac:dyDescent="0.35">
      <c r="A975" s="25"/>
    </row>
    <row r="976" spans="1:1" x14ac:dyDescent="0.35">
      <c r="A976" s="25"/>
    </row>
    <row r="977" spans="1:1" x14ac:dyDescent="0.35">
      <c r="A977" s="25"/>
    </row>
    <row r="978" spans="1:1" x14ac:dyDescent="0.35">
      <c r="A978" s="25"/>
    </row>
    <row r="979" spans="1:1" x14ac:dyDescent="0.35">
      <c r="A979" s="25"/>
    </row>
    <row r="980" spans="1:1" x14ac:dyDescent="0.35">
      <c r="A980" s="25"/>
    </row>
    <row r="981" spans="1:1" x14ac:dyDescent="0.35">
      <c r="A981" s="25"/>
    </row>
    <row r="982" spans="1:1" x14ac:dyDescent="0.35">
      <c r="A982" s="25"/>
    </row>
    <row r="983" spans="1:1" x14ac:dyDescent="0.35">
      <c r="A983" s="25"/>
    </row>
    <row r="984" spans="1:1" x14ac:dyDescent="0.35">
      <c r="A984" s="25"/>
    </row>
    <row r="985" spans="1:1" x14ac:dyDescent="0.35">
      <c r="A985" s="25"/>
    </row>
    <row r="986" spans="1:1" x14ac:dyDescent="0.35">
      <c r="A986" s="25"/>
    </row>
    <row r="987" spans="1:1" x14ac:dyDescent="0.35">
      <c r="A987" s="25"/>
    </row>
    <row r="988" spans="1:1" x14ac:dyDescent="0.35">
      <c r="A988" s="25"/>
    </row>
    <row r="989" spans="1:1" x14ac:dyDescent="0.35">
      <c r="A989" s="25"/>
    </row>
    <row r="990" spans="1:1" x14ac:dyDescent="0.35">
      <c r="A990" s="25"/>
    </row>
    <row r="991" spans="1:1" x14ac:dyDescent="0.35">
      <c r="A991" s="25"/>
    </row>
    <row r="992" spans="1:1" x14ac:dyDescent="0.35">
      <c r="A992" s="25"/>
    </row>
    <row r="993" spans="1:1" x14ac:dyDescent="0.35">
      <c r="A993" s="25"/>
    </row>
    <row r="994" spans="1:1" x14ac:dyDescent="0.35">
      <c r="A994" s="25"/>
    </row>
    <row r="995" spans="1:1" x14ac:dyDescent="0.35">
      <c r="A995" s="25"/>
    </row>
    <row r="996" spans="1:1" x14ac:dyDescent="0.35">
      <c r="A996" s="25"/>
    </row>
    <row r="997" spans="1:1" x14ac:dyDescent="0.35">
      <c r="A997" s="25"/>
    </row>
    <row r="998" spans="1:1" x14ac:dyDescent="0.35">
      <c r="A998" s="25"/>
    </row>
    <row r="999" spans="1:1" x14ac:dyDescent="0.35">
      <c r="A999" s="25"/>
    </row>
    <row r="1000" spans="1:1" x14ac:dyDescent="0.35">
      <c r="A1000" s="25"/>
    </row>
    <row r="1001" spans="1:1" x14ac:dyDescent="0.35">
      <c r="A1001" s="25"/>
    </row>
  </sheetData>
  <sortState xmlns:xlrd2="http://schemas.microsoft.com/office/spreadsheetml/2017/richdata2" ref="H2:H77">
    <sortCondition ref="H2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0F9EF-2A34-473E-9440-7411E944ECAA}">
  <dimension ref="A1:L1001"/>
  <sheetViews>
    <sheetView tabSelected="1" zoomScale="73" workbookViewId="0">
      <selection activeCell="E8" sqref="E8"/>
    </sheetView>
  </sheetViews>
  <sheetFormatPr defaultColWidth="26.109375" defaultRowHeight="18" x14ac:dyDescent="0.35"/>
  <cols>
    <col min="1" max="16384" width="26.109375" style="25"/>
  </cols>
  <sheetData>
    <row r="1" spans="1:12" x14ac:dyDescent="0.35">
      <c r="A1" s="71" t="s">
        <v>62</v>
      </c>
      <c r="B1" s="71"/>
      <c r="C1" s="72" t="s">
        <v>104</v>
      </c>
      <c r="D1" s="72"/>
      <c r="E1" s="71"/>
      <c r="F1" s="71" t="s">
        <v>64</v>
      </c>
      <c r="G1" s="73" t="s">
        <v>64</v>
      </c>
      <c r="H1" s="73" t="s">
        <v>65</v>
      </c>
      <c r="I1" s="71" t="s">
        <v>66</v>
      </c>
      <c r="J1" s="71" t="s">
        <v>67</v>
      </c>
      <c r="K1" s="71" t="s">
        <v>107</v>
      </c>
    </row>
    <row r="2" spans="1:12" x14ac:dyDescent="0.35">
      <c r="A2" s="25">
        <v>5.5030301508668344</v>
      </c>
      <c r="F2" s="25">
        <v>-0.3</v>
      </c>
      <c r="G2" s="25">
        <v>-0.3</v>
      </c>
      <c r="H2" s="25">
        <v>2</v>
      </c>
      <c r="I2" s="25">
        <f>H2/H$21</f>
        <v>2E-3</v>
      </c>
      <c r="J2" s="25">
        <f>_xlfn.NORM.DIST(G2+0.35,D$3,D$7,TRUE)-_xlfn.NORM.DIST(G2-0.35,D$3,D$7,TRUE)</f>
        <v>4.4961981594844984E-3</v>
      </c>
    </row>
    <row r="3" spans="1:12" x14ac:dyDescent="0.35">
      <c r="A3" s="25">
        <v>5.8019560482352972</v>
      </c>
      <c r="C3" s="25" t="s">
        <v>0</v>
      </c>
      <c r="D3" s="25">
        <v>5.057292902511108</v>
      </c>
      <c r="F3" s="25">
        <f>F2+0.7</f>
        <v>0.39999999999999997</v>
      </c>
      <c r="G3" s="25">
        <v>0.39999999999999997</v>
      </c>
      <c r="H3" s="25">
        <v>9</v>
      </c>
      <c r="I3" s="25">
        <f t="shared" ref="I3:I20" si="0">H3/H$21</f>
        <v>8.9999999999999993E-3</v>
      </c>
      <c r="J3" s="25">
        <f t="shared" ref="J3:J20" si="1">_xlfn.NORM.DIST(G3+0.35,D$3,D$7,TRUE)-_xlfn.NORM.DIST(G3-0.35,D$3,D$7,TRUE)</f>
        <v>1.0342689527913488E-2</v>
      </c>
      <c r="L3" s="25">
        <f>_xlfn.NORM.INV(0.95,5,2)</f>
        <v>8.2897072539029431</v>
      </c>
    </row>
    <row r="4" spans="1:12" x14ac:dyDescent="0.35">
      <c r="A4" s="25">
        <v>1.5913502819603309</v>
      </c>
      <c r="C4" s="25" t="s">
        <v>1</v>
      </c>
      <c r="D4" s="25">
        <v>6.4552097574592654E-2</v>
      </c>
      <c r="F4" s="25">
        <f t="shared" ref="F4:F18" si="2">F3+0.7</f>
        <v>1.0999999999999999</v>
      </c>
      <c r="G4" s="25">
        <v>1.0999999999999999</v>
      </c>
      <c r="H4" s="25">
        <v>12</v>
      </c>
      <c r="I4" s="25">
        <f t="shared" si="0"/>
        <v>1.2E-2</v>
      </c>
      <c r="J4" s="25">
        <f t="shared" si="1"/>
        <v>2.1175608860427683E-2</v>
      </c>
    </row>
    <row r="5" spans="1:12" x14ac:dyDescent="0.35">
      <c r="A5" s="25">
        <v>5.0784302756073885</v>
      </c>
      <c r="C5" s="25" t="s">
        <v>2</v>
      </c>
      <c r="D5" s="25">
        <v>4.9505769210372819</v>
      </c>
      <c r="F5" s="25">
        <f t="shared" si="2"/>
        <v>1.7999999999999998</v>
      </c>
      <c r="G5" s="25">
        <v>1.7999999999999998</v>
      </c>
      <c r="H5" s="25">
        <v>21</v>
      </c>
      <c r="I5" s="25">
        <f>K11</f>
        <v>0</v>
      </c>
      <c r="J5" s="25">
        <f t="shared" si="1"/>
        <v>3.8588396914370347E-2</v>
      </c>
    </row>
    <row r="6" spans="1:12" x14ac:dyDescent="0.35">
      <c r="A6" s="25">
        <v>6.420089574821759</v>
      </c>
      <c r="C6" s="25" t="s">
        <v>3</v>
      </c>
      <c r="D6" s="25">
        <v>3.4583473633392714</v>
      </c>
      <c r="F6" s="25">
        <f t="shared" si="2"/>
        <v>2.5</v>
      </c>
      <c r="G6" s="25">
        <v>2.5</v>
      </c>
      <c r="H6" s="25">
        <v>60</v>
      </c>
      <c r="I6" s="25">
        <f t="shared" si="0"/>
        <v>0.06</v>
      </c>
      <c r="J6" s="25">
        <f t="shared" si="1"/>
        <v>6.2589200362943131E-2</v>
      </c>
    </row>
    <row r="7" spans="1:12" x14ac:dyDescent="0.35">
      <c r="A7" s="25">
        <v>6.9515618987497874</v>
      </c>
      <c r="C7" s="25" t="s">
        <v>4</v>
      </c>
      <c r="D7" s="25">
        <v>2.0413165607714379</v>
      </c>
      <c r="F7" s="25">
        <f t="shared" si="2"/>
        <v>3.2</v>
      </c>
      <c r="G7" s="25">
        <v>3.2</v>
      </c>
      <c r="H7" s="25">
        <v>79</v>
      </c>
      <c r="I7" s="25">
        <f t="shared" si="0"/>
        <v>7.9000000000000001E-2</v>
      </c>
      <c r="J7" s="25">
        <f t="shared" si="1"/>
        <v>9.0358017079628206E-2</v>
      </c>
    </row>
    <row r="8" spans="1:12" x14ac:dyDescent="0.35">
      <c r="A8" s="25">
        <v>4.0000264915579464</v>
      </c>
      <c r="C8" s="25" t="s">
        <v>5</v>
      </c>
      <c r="D8" s="25">
        <v>4.1669733012797305</v>
      </c>
      <c r="F8" s="25">
        <f t="shared" si="2"/>
        <v>3.9000000000000004</v>
      </c>
      <c r="G8" s="25">
        <v>3.9000000000000004</v>
      </c>
      <c r="H8" s="25">
        <v>115</v>
      </c>
      <c r="I8" s="25">
        <f t="shared" si="0"/>
        <v>0.115</v>
      </c>
      <c r="J8" s="25">
        <f t="shared" si="1"/>
        <v>0.11610762341152212</v>
      </c>
    </row>
    <row r="9" spans="1:12" x14ac:dyDescent="0.35">
      <c r="A9" s="25">
        <v>7.7594705898081884</v>
      </c>
      <c r="C9" s="25" t="s">
        <v>6</v>
      </c>
      <c r="D9" s="25">
        <v>-0.1781148349255246</v>
      </c>
      <c r="F9" s="25">
        <f t="shared" si="2"/>
        <v>4.6000000000000005</v>
      </c>
      <c r="G9" s="25">
        <v>4.6000000000000005</v>
      </c>
      <c r="H9" s="25">
        <v>125</v>
      </c>
      <c r="I9" s="25">
        <f t="shared" si="0"/>
        <v>0.125</v>
      </c>
      <c r="J9" s="25">
        <f t="shared" si="1"/>
        <v>0.13279539030950072</v>
      </c>
    </row>
    <row r="10" spans="1:12" x14ac:dyDescent="0.35">
      <c r="A10" s="25">
        <v>3.0768097884720191</v>
      </c>
      <c r="C10" s="25" t="s">
        <v>7</v>
      </c>
      <c r="D10" s="25">
        <v>0.12530878082510705</v>
      </c>
      <c r="F10" s="25">
        <f t="shared" si="2"/>
        <v>5.3000000000000007</v>
      </c>
      <c r="G10" s="25">
        <v>5.3000000000000007</v>
      </c>
      <c r="H10" s="25">
        <v>138</v>
      </c>
      <c r="I10" s="25">
        <f t="shared" si="0"/>
        <v>0.13800000000000001</v>
      </c>
      <c r="J10" s="25">
        <f t="shared" si="1"/>
        <v>0.13518679482415369</v>
      </c>
    </row>
    <row r="11" spans="1:12" x14ac:dyDescent="0.35">
      <c r="A11" s="25">
        <v>3.4583473633392714</v>
      </c>
      <c r="C11" s="25" t="s">
        <v>8</v>
      </c>
      <c r="D11" s="25">
        <v>11.482625268399715</v>
      </c>
      <c r="F11" s="25">
        <f t="shared" si="2"/>
        <v>6.0000000000000009</v>
      </c>
      <c r="G11" s="25">
        <v>6.0000000000000009</v>
      </c>
      <c r="H11" s="25">
        <v>117</v>
      </c>
      <c r="I11" s="25">
        <f t="shared" si="0"/>
        <v>0.11700000000000001</v>
      </c>
      <c r="J11" s="25">
        <f t="shared" si="1"/>
        <v>0.12249395450919021</v>
      </c>
    </row>
    <row r="12" spans="1:12" x14ac:dyDescent="0.35">
      <c r="A12" s="25">
        <v>1.5122333378531039</v>
      </c>
      <c r="C12" s="25" t="s">
        <v>9</v>
      </c>
      <c r="D12" s="25">
        <v>-0.34142600372433662</v>
      </c>
      <c r="F12" s="25">
        <f t="shared" si="2"/>
        <v>6.7000000000000011</v>
      </c>
      <c r="G12" s="25">
        <v>6.7000000000000011</v>
      </c>
      <c r="H12" s="25">
        <v>108</v>
      </c>
      <c r="I12" s="25">
        <f t="shared" si="0"/>
        <v>0.108</v>
      </c>
      <c r="J12" s="25">
        <f t="shared" si="1"/>
        <v>9.8792408438818646E-2</v>
      </c>
    </row>
    <row r="13" spans="1:12" x14ac:dyDescent="0.35">
      <c r="A13" s="25">
        <v>8.170962372678332</v>
      </c>
      <c r="C13" s="25" t="s">
        <v>10</v>
      </c>
      <c r="D13" s="25">
        <v>11.141199264675379</v>
      </c>
      <c r="F13" s="25">
        <f t="shared" si="2"/>
        <v>7.4000000000000012</v>
      </c>
      <c r="G13" s="25">
        <v>7.4000000000000012</v>
      </c>
      <c r="H13" s="25">
        <v>80</v>
      </c>
      <c r="I13" s="25">
        <f t="shared" si="0"/>
        <v>0.08</v>
      </c>
      <c r="J13" s="25">
        <f t="shared" si="1"/>
        <v>7.0918536835063772E-2</v>
      </c>
    </row>
    <row r="14" spans="1:12" x14ac:dyDescent="0.35">
      <c r="A14" s="25">
        <v>6.4185161489876918</v>
      </c>
      <c r="C14" s="25" t="s">
        <v>11</v>
      </c>
      <c r="D14" s="25">
        <v>5057.292902511108</v>
      </c>
      <c r="F14" s="25">
        <f t="shared" si="2"/>
        <v>8.1000000000000014</v>
      </c>
      <c r="G14" s="25">
        <v>8.1000000000000014</v>
      </c>
      <c r="H14" s="25">
        <v>64</v>
      </c>
      <c r="I14" s="25">
        <f t="shared" si="0"/>
        <v>6.4000000000000001E-2</v>
      </c>
      <c r="J14" s="25">
        <f t="shared" si="1"/>
        <v>4.5312842555312982E-2</v>
      </c>
    </row>
    <row r="15" spans="1:12" ht="18.600000000000001" thickBot="1" x14ac:dyDescent="0.4">
      <c r="A15" s="25">
        <v>4.3896062733256258</v>
      </c>
      <c r="C15" s="30" t="s">
        <v>12</v>
      </c>
      <c r="D15" s="30">
        <v>1000</v>
      </c>
      <c r="F15" s="25">
        <f t="shared" si="2"/>
        <v>8.8000000000000007</v>
      </c>
      <c r="G15" s="25">
        <v>8.8000000000000007</v>
      </c>
      <c r="H15" s="25">
        <v>33</v>
      </c>
      <c r="I15" s="25">
        <f t="shared" si="0"/>
        <v>3.3000000000000002E-2</v>
      </c>
      <c r="J15" s="25">
        <f t="shared" si="1"/>
        <v>2.5769477079406133E-2</v>
      </c>
    </row>
    <row r="16" spans="1:12" x14ac:dyDescent="0.35">
      <c r="A16" s="25">
        <v>7.1514415493584238</v>
      </c>
      <c r="F16" s="25">
        <f>F15+0.7</f>
        <v>9.5</v>
      </c>
      <c r="G16" s="25">
        <v>9.5</v>
      </c>
      <c r="H16" s="25">
        <v>19</v>
      </c>
      <c r="I16" s="25">
        <f t="shared" si="0"/>
        <v>1.9E-2</v>
      </c>
      <c r="J16" s="25">
        <f t="shared" si="1"/>
        <v>1.3043959225801816E-2</v>
      </c>
    </row>
    <row r="17" spans="1:10" x14ac:dyDescent="0.35">
      <c r="A17" s="25">
        <v>3.7254386724089272</v>
      </c>
      <c r="F17" s="25">
        <f t="shared" si="2"/>
        <v>10.199999999999999</v>
      </c>
      <c r="G17" s="25">
        <v>10.199999999999999</v>
      </c>
      <c r="H17" s="25">
        <v>9</v>
      </c>
      <c r="I17" s="25">
        <f t="shared" si="0"/>
        <v>8.9999999999999993E-3</v>
      </c>
      <c r="J17" s="25">
        <f t="shared" si="1"/>
        <v>5.8766379457175777E-3</v>
      </c>
    </row>
    <row r="18" spans="1:10" x14ac:dyDescent="0.35">
      <c r="A18" s="25">
        <v>4.9347346602007747</v>
      </c>
      <c r="F18" s="25">
        <f t="shared" si="2"/>
        <v>10.899999999999999</v>
      </c>
      <c r="G18" s="25">
        <v>10.899999999999999</v>
      </c>
      <c r="H18" s="25">
        <v>8</v>
      </c>
      <c r="I18" s="25">
        <f t="shared" si="0"/>
        <v>8.0000000000000002E-3</v>
      </c>
      <c r="J18" s="25">
        <f t="shared" si="1"/>
        <v>2.3564577809240816E-3</v>
      </c>
    </row>
    <row r="19" spans="1:10" x14ac:dyDescent="0.35">
      <c r="A19" s="25">
        <v>2.9438007358112372</v>
      </c>
      <c r="F19" s="25">
        <f>F18+0.7</f>
        <v>11.599999999999998</v>
      </c>
      <c r="G19" s="25">
        <v>11.599999999999998</v>
      </c>
      <c r="H19" s="25">
        <v>1</v>
      </c>
      <c r="I19" s="25">
        <f t="shared" si="0"/>
        <v>1E-3</v>
      </c>
      <c r="J19" s="25">
        <f t="shared" si="1"/>
        <v>8.4100116317653573E-4</v>
      </c>
    </row>
    <row r="20" spans="1:10" ht="18.600000000000001" thickBot="1" x14ac:dyDescent="0.4">
      <c r="A20" s="25">
        <v>6.1118436304968782</v>
      </c>
      <c r="G20" s="30" t="s">
        <v>105</v>
      </c>
      <c r="H20" s="30">
        <v>0</v>
      </c>
      <c r="I20" s="25">
        <f t="shared" si="0"/>
        <v>0</v>
      </c>
      <c r="J20" s="25" t="e">
        <f t="shared" si="1"/>
        <v>#VALUE!</v>
      </c>
    </row>
    <row r="21" spans="1:10" x14ac:dyDescent="0.35">
      <c r="A21" s="25">
        <v>2.9383437676005997</v>
      </c>
      <c r="G21" s="25" t="s">
        <v>106</v>
      </c>
      <c r="H21" s="25">
        <f>SUM(H2:H20)</f>
        <v>1000</v>
      </c>
      <c r="I21" s="25">
        <v>1</v>
      </c>
      <c r="J21" s="25">
        <v>1</v>
      </c>
    </row>
    <row r="22" spans="1:10" x14ac:dyDescent="0.35">
      <c r="A22" s="25">
        <v>5.727061433281051</v>
      </c>
    </row>
    <row r="23" spans="1:10" x14ac:dyDescent="0.35">
      <c r="A23" s="25">
        <v>6.3088651940051932</v>
      </c>
    </row>
    <row r="24" spans="1:10" x14ac:dyDescent="0.35">
      <c r="A24" s="25">
        <v>3.2485360305872746</v>
      </c>
    </row>
    <row r="25" spans="1:10" x14ac:dyDescent="0.35">
      <c r="A25" s="25">
        <v>5.9179279913951177</v>
      </c>
    </row>
    <row r="26" spans="1:10" x14ac:dyDescent="0.35">
      <c r="A26" s="25">
        <v>9.3671752791851759</v>
      </c>
    </row>
    <row r="27" spans="1:10" x14ac:dyDescent="0.35">
      <c r="A27" s="25">
        <v>5.0446016201749444</v>
      </c>
    </row>
    <row r="28" spans="1:10" x14ac:dyDescent="0.35">
      <c r="A28" s="25">
        <v>6.9606977730290964</v>
      </c>
    </row>
    <row r="29" spans="1:10" x14ac:dyDescent="0.35">
      <c r="A29" s="25">
        <v>7.8540762286866084</v>
      </c>
    </row>
    <row r="30" spans="1:10" x14ac:dyDescent="0.35">
      <c r="A30" s="25">
        <v>5.851114236866124</v>
      </c>
    </row>
    <row r="31" spans="1:10" x14ac:dyDescent="0.35">
      <c r="A31" s="25">
        <v>3.9748084772145376</v>
      </c>
    </row>
    <row r="32" spans="1:10" x14ac:dyDescent="0.35">
      <c r="A32" s="25">
        <v>5.9797395250643604</v>
      </c>
    </row>
    <row r="33" spans="1:1" x14ac:dyDescent="0.35">
      <c r="A33" s="25">
        <v>4.743563421361614</v>
      </c>
    </row>
    <row r="34" spans="1:1" x14ac:dyDescent="0.35">
      <c r="A34" s="25">
        <v>4.8740759110660292</v>
      </c>
    </row>
    <row r="35" spans="1:1" x14ac:dyDescent="0.35">
      <c r="A35" s="25">
        <v>6.9105982573819347</v>
      </c>
    </row>
    <row r="36" spans="1:1" x14ac:dyDescent="0.35">
      <c r="A36" s="25">
        <v>7.3745724320178851</v>
      </c>
    </row>
    <row r="37" spans="1:1" x14ac:dyDescent="0.35">
      <c r="A37" s="25">
        <v>5.6041454980731942</v>
      </c>
    </row>
    <row r="38" spans="1:1" x14ac:dyDescent="0.35">
      <c r="A38" s="25">
        <v>4.9454507815244142</v>
      </c>
    </row>
    <row r="39" spans="1:1" x14ac:dyDescent="0.35">
      <c r="A39" s="25">
        <v>7.2343283490044996</v>
      </c>
    </row>
    <row r="40" spans="1:1" x14ac:dyDescent="0.35">
      <c r="A40" s="25">
        <v>5.3864920472551603</v>
      </c>
    </row>
    <row r="41" spans="1:1" x14ac:dyDescent="0.35">
      <c r="A41" s="25">
        <v>8.6845995055045933</v>
      </c>
    </row>
    <row r="42" spans="1:1" x14ac:dyDescent="0.35">
      <c r="A42" s="25">
        <v>5.451238975074375</v>
      </c>
    </row>
    <row r="43" spans="1:1" x14ac:dyDescent="0.35">
      <c r="A43" s="25">
        <v>6.7676848074188456</v>
      </c>
    </row>
    <row r="44" spans="1:1" x14ac:dyDescent="0.35">
      <c r="A44" s="25">
        <v>8.7376412365119904</v>
      </c>
    </row>
    <row r="45" spans="1:1" x14ac:dyDescent="0.35">
      <c r="A45" s="25">
        <v>3.6805028129310813</v>
      </c>
    </row>
    <row r="46" spans="1:1" x14ac:dyDescent="0.35">
      <c r="A46" s="25">
        <v>7.9164402803871781</v>
      </c>
    </row>
    <row r="47" spans="1:1" x14ac:dyDescent="0.35">
      <c r="A47" s="25">
        <v>4.5327380020171404</v>
      </c>
    </row>
    <row r="48" spans="1:1" x14ac:dyDescent="0.35">
      <c r="A48" s="25">
        <v>6.1023894330719486</v>
      </c>
    </row>
    <row r="49" spans="1:1" x14ac:dyDescent="0.35">
      <c r="A49" s="25">
        <v>4.3143001120188273</v>
      </c>
    </row>
    <row r="50" spans="1:1" x14ac:dyDescent="0.35">
      <c r="A50" s="25">
        <v>7.0894458430120721</v>
      </c>
    </row>
    <row r="51" spans="1:1" x14ac:dyDescent="0.35">
      <c r="A51" s="25">
        <v>2.4977163219591603</v>
      </c>
    </row>
    <row r="52" spans="1:1" x14ac:dyDescent="0.35">
      <c r="A52" s="25">
        <v>4.854294401302468</v>
      </c>
    </row>
    <row r="53" spans="1:1" x14ac:dyDescent="0.35">
      <c r="A53" s="25">
        <v>6.1216752682230435</v>
      </c>
    </row>
    <row r="54" spans="1:1" x14ac:dyDescent="0.35">
      <c r="A54" s="25">
        <v>4.0902233548695222</v>
      </c>
    </row>
    <row r="55" spans="1:1" x14ac:dyDescent="0.35">
      <c r="A55" s="25">
        <v>7.8758404369000345</v>
      </c>
    </row>
    <row r="56" spans="1:1" x14ac:dyDescent="0.35">
      <c r="A56" s="25">
        <v>8.9169754018075764</v>
      </c>
    </row>
    <row r="57" spans="1:1" x14ac:dyDescent="0.35">
      <c r="A57" s="25">
        <v>3.914490788592957</v>
      </c>
    </row>
    <row r="58" spans="1:1" x14ac:dyDescent="0.35">
      <c r="A58" s="25">
        <v>4.3199776326946449</v>
      </c>
    </row>
    <row r="59" spans="1:1" x14ac:dyDescent="0.35">
      <c r="A59" s="25">
        <v>3.6343118507647887</v>
      </c>
    </row>
    <row r="60" spans="1:1" x14ac:dyDescent="0.35">
      <c r="A60" s="25">
        <v>3.5759677656460553</v>
      </c>
    </row>
    <row r="61" spans="1:1" x14ac:dyDescent="0.35">
      <c r="A61" s="25">
        <v>2.0458247844362631</v>
      </c>
    </row>
    <row r="62" spans="1:1" x14ac:dyDescent="0.35">
      <c r="A62" s="25">
        <v>5.3038712748093531</v>
      </c>
    </row>
    <row r="63" spans="1:1" x14ac:dyDescent="0.35">
      <c r="A63" s="25">
        <v>4.6922588252346031</v>
      </c>
    </row>
    <row r="64" spans="1:1" x14ac:dyDescent="0.35">
      <c r="A64" s="25">
        <v>4.1458707881974988</v>
      </c>
    </row>
    <row r="65" spans="1:1" x14ac:dyDescent="0.35">
      <c r="A65" s="25">
        <v>6.7474258129368536</v>
      </c>
    </row>
    <row r="66" spans="1:1" x14ac:dyDescent="0.35">
      <c r="A66" s="25">
        <v>2.7976540321833454</v>
      </c>
    </row>
    <row r="67" spans="1:1" x14ac:dyDescent="0.35">
      <c r="A67" s="25">
        <v>6.0871053746086545</v>
      </c>
    </row>
    <row r="68" spans="1:1" x14ac:dyDescent="0.35">
      <c r="A68" s="25">
        <v>4.7247323335614055</v>
      </c>
    </row>
    <row r="69" spans="1:1" x14ac:dyDescent="0.35">
      <c r="A69" s="25">
        <v>1.8519568938063458</v>
      </c>
    </row>
    <row r="70" spans="1:1" x14ac:dyDescent="0.35">
      <c r="A70" s="25">
        <v>5.934448962652823</v>
      </c>
    </row>
    <row r="71" spans="1:1" x14ac:dyDescent="0.35">
      <c r="A71" s="25">
        <v>2.4415140968631022</v>
      </c>
    </row>
    <row r="72" spans="1:1" x14ac:dyDescent="0.35">
      <c r="A72" s="25">
        <v>4.9080932866490912</v>
      </c>
    </row>
    <row r="73" spans="1:1" x14ac:dyDescent="0.35">
      <c r="A73" s="25">
        <v>4.4855920704139862</v>
      </c>
    </row>
    <row r="74" spans="1:1" x14ac:dyDescent="0.35">
      <c r="A74" s="25">
        <v>10.504261935129762</v>
      </c>
    </row>
    <row r="75" spans="1:1" x14ac:dyDescent="0.35">
      <c r="A75" s="25">
        <v>1.9223244988825172</v>
      </c>
    </row>
    <row r="76" spans="1:1" x14ac:dyDescent="0.35">
      <c r="A76" s="25">
        <v>1.9362488627666607</v>
      </c>
    </row>
    <row r="77" spans="1:1" x14ac:dyDescent="0.35">
      <c r="A77" s="25">
        <v>5.7324570105993189</v>
      </c>
    </row>
    <row r="78" spans="1:1" x14ac:dyDescent="0.35">
      <c r="A78" s="25">
        <v>2.8959795043920167</v>
      </c>
    </row>
    <row r="79" spans="1:1" x14ac:dyDescent="0.35">
      <c r="A79" s="25">
        <v>4.6430847204464953</v>
      </c>
    </row>
    <row r="80" spans="1:1" x14ac:dyDescent="0.35">
      <c r="A80" s="25">
        <v>2.7108655002666637</v>
      </c>
    </row>
    <row r="81" spans="1:1" x14ac:dyDescent="0.35">
      <c r="A81" s="25">
        <v>2.6805565893300809</v>
      </c>
    </row>
    <row r="82" spans="1:1" x14ac:dyDescent="0.35">
      <c r="A82" s="25">
        <v>3.2899225869914517</v>
      </c>
    </row>
    <row r="83" spans="1:1" x14ac:dyDescent="0.35">
      <c r="A83" s="25">
        <v>3.964849510230124</v>
      </c>
    </row>
    <row r="84" spans="1:1" x14ac:dyDescent="0.35">
      <c r="A84" s="25">
        <v>8.4066852094838396</v>
      </c>
    </row>
    <row r="85" spans="1:1" x14ac:dyDescent="0.35">
      <c r="A85" s="25">
        <v>6.252146830665879</v>
      </c>
    </row>
    <row r="86" spans="1:1" x14ac:dyDescent="0.35">
      <c r="A86" s="25">
        <v>6.1721726878022309</v>
      </c>
    </row>
    <row r="87" spans="1:1" x14ac:dyDescent="0.35">
      <c r="A87" s="25">
        <v>5.921158971323166</v>
      </c>
    </row>
    <row r="88" spans="1:1" x14ac:dyDescent="0.35">
      <c r="A88" s="25">
        <v>7.6334373615100048</v>
      </c>
    </row>
    <row r="89" spans="1:1" x14ac:dyDescent="0.35">
      <c r="A89" s="25">
        <v>7.4096107154036872</v>
      </c>
    </row>
    <row r="90" spans="1:1" x14ac:dyDescent="0.35">
      <c r="A90" s="25">
        <v>5.3732498043973465</v>
      </c>
    </row>
    <row r="91" spans="1:1" x14ac:dyDescent="0.35">
      <c r="A91" s="25">
        <v>3.670214154117275</v>
      </c>
    </row>
    <row r="92" spans="1:1" x14ac:dyDescent="0.35">
      <c r="A92" s="25">
        <v>5.5373726708057802</v>
      </c>
    </row>
    <row r="93" spans="1:1" x14ac:dyDescent="0.35">
      <c r="A93" s="25">
        <v>0.70001818938180804</v>
      </c>
    </row>
    <row r="94" spans="1:1" x14ac:dyDescent="0.35">
      <c r="A94" s="25">
        <v>8.6565688787959516</v>
      </c>
    </row>
    <row r="95" spans="1:1" x14ac:dyDescent="0.35">
      <c r="A95" s="25">
        <v>4.0547871675516944</v>
      </c>
    </row>
    <row r="96" spans="1:1" x14ac:dyDescent="0.35">
      <c r="A96" s="25">
        <v>7.8284739528317004</v>
      </c>
    </row>
    <row r="97" spans="1:1" x14ac:dyDescent="0.35">
      <c r="A97" s="25">
        <v>6.8889750208472833</v>
      </c>
    </row>
    <row r="98" spans="1:1" x14ac:dyDescent="0.35">
      <c r="A98" s="25">
        <v>4.4092922861455008</v>
      </c>
    </row>
    <row r="99" spans="1:1" x14ac:dyDescent="0.35">
      <c r="A99" s="25">
        <v>2.707327565876767</v>
      </c>
    </row>
    <row r="100" spans="1:1" x14ac:dyDescent="0.35">
      <c r="A100" s="25">
        <v>4.796546035213396</v>
      </c>
    </row>
    <row r="101" spans="1:1" x14ac:dyDescent="0.35">
      <c r="A101" s="25">
        <v>7.5910730983014219</v>
      </c>
    </row>
    <row r="102" spans="1:1" x14ac:dyDescent="0.35">
      <c r="A102" s="25">
        <v>4.3598839864716865</v>
      </c>
    </row>
    <row r="103" spans="1:1" x14ac:dyDescent="0.35">
      <c r="A103" s="25">
        <v>5.8185634214896709</v>
      </c>
    </row>
    <row r="104" spans="1:1" x14ac:dyDescent="0.35">
      <c r="A104" s="25">
        <v>7.507313183741644</v>
      </c>
    </row>
    <row r="105" spans="1:1" x14ac:dyDescent="0.35">
      <c r="A105" s="25">
        <v>7.0376000975375064</v>
      </c>
    </row>
    <row r="106" spans="1:1" x14ac:dyDescent="0.35">
      <c r="A106" s="25">
        <v>6.2467535270843655</v>
      </c>
    </row>
    <row r="107" spans="1:1" x14ac:dyDescent="0.35">
      <c r="A107" s="25">
        <v>3.2830740918871015</v>
      </c>
    </row>
    <row r="108" spans="1:1" x14ac:dyDescent="0.35">
      <c r="A108" s="25">
        <v>7.5616100174374878</v>
      </c>
    </row>
    <row r="109" spans="1:1" x14ac:dyDescent="0.35">
      <c r="A109" s="25">
        <v>5.6267646313062869</v>
      </c>
    </row>
    <row r="110" spans="1:1" x14ac:dyDescent="0.35">
      <c r="A110" s="25">
        <v>2.67635472380789</v>
      </c>
    </row>
    <row r="111" spans="1:1" x14ac:dyDescent="0.35">
      <c r="A111" s="25">
        <v>5.3977220330853015</v>
      </c>
    </row>
    <row r="112" spans="1:1" x14ac:dyDescent="0.35">
      <c r="A112" s="25">
        <v>8.4526146919233724</v>
      </c>
    </row>
    <row r="113" spans="1:1" x14ac:dyDescent="0.35">
      <c r="A113" s="25">
        <v>3.5871818353189155</v>
      </c>
    </row>
    <row r="114" spans="1:1" x14ac:dyDescent="0.35">
      <c r="A114" s="25">
        <v>5.7766516318952199</v>
      </c>
    </row>
    <row r="115" spans="1:1" x14ac:dyDescent="0.35">
      <c r="A115" s="25">
        <v>5.5041351869294886</v>
      </c>
    </row>
    <row r="116" spans="1:1" x14ac:dyDescent="0.35">
      <c r="A116" s="25">
        <v>7.0319521354394965</v>
      </c>
    </row>
    <row r="117" spans="1:1" x14ac:dyDescent="0.35">
      <c r="A117" s="25">
        <v>4.6321980688662734</v>
      </c>
    </row>
    <row r="118" spans="1:1" x14ac:dyDescent="0.35">
      <c r="A118" s="25">
        <v>4.7525083017535508</v>
      </c>
    </row>
    <row r="119" spans="1:1" x14ac:dyDescent="0.35">
      <c r="A119" s="25">
        <v>4.4592963048489764</v>
      </c>
    </row>
    <row r="120" spans="1:1" x14ac:dyDescent="0.35">
      <c r="A120" s="25">
        <v>1.8645624903729185</v>
      </c>
    </row>
    <row r="121" spans="1:1" x14ac:dyDescent="0.35">
      <c r="A121" s="25">
        <v>4.9002807271608617</v>
      </c>
    </row>
    <row r="122" spans="1:1" x14ac:dyDescent="0.35">
      <c r="A122" s="25">
        <v>6.523799255664926</v>
      </c>
    </row>
    <row r="123" spans="1:1" x14ac:dyDescent="0.35">
      <c r="A123" s="25">
        <v>3.7465480444370769</v>
      </c>
    </row>
    <row r="124" spans="1:1" x14ac:dyDescent="0.35">
      <c r="A124" s="25">
        <v>8.7934660213068128</v>
      </c>
    </row>
    <row r="125" spans="1:1" x14ac:dyDescent="0.35">
      <c r="A125" s="25">
        <v>7.765027602436021</v>
      </c>
    </row>
    <row r="126" spans="1:1" x14ac:dyDescent="0.35">
      <c r="A126" s="25">
        <v>5.8566439646529034</v>
      </c>
    </row>
    <row r="127" spans="1:1" x14ac:dyDescent="0.35">
      <c r="A127" s="25">
        <v>7.0049628801643848</v>
      </c>
    </row>
    <row r="128" spans="1:1" x14ac:dyDescent="0.35">
      <c r="A128" s="25">
        <v>11.141199264675379</v>
      </c>
    </row>
    <row r="129" spans="1:1" x14ac:dyDescent="0.35">
      <c r="A129" s="25">
        <v>2.4594447849085554</v>
      </c>
    </row>
    <row r="130" spans="1:1" x14ac:dyDescent="0.35">
      <c r="A130" s="25">
        <v>5.9324003258370794</v>
      </c>
    </row>
    <row r="131" spans="1:1" x14ac:dyDescent="0.35">
      <c r="A131" s="25">
        <v>8.5082484828308225</v>
      </c>
    </row>
    <row r="132" spans="1:1" x14ac:dyDescent="0.35">
      <c r="A132" s="25">
        <v>5.2927299647126347</v>
      </c>
    </row>
    <row r="133" spans="1:1" x14ac:dyDescent="0.35">
      <c r="A133" s="25">
        <v>5.0173645275935996</v>
      </c>
    </row>
    <row r="134" spans="1:1" x14ac:dyDescent="0.35">
      <c r="A134" s="25">
        <v>6.4815987015026622</v>
      </c>
    </row>
    <row r="135" spans="1:1" x14ac:dyDescent="0.35">
      <c r="A135" s="25">
        <v>3.321895873232279</v>
      </c>
    </row>
    <row r="136" spans="1:1" x14ac:dyDescent="0.35">
      <c r="A136" s="25">
        <v>2.3698322719428688</v>
      </c>
    </row>
    <row r="137" spans="1:1" x14ac:dyDescent="0.35">
      <c r="A137" s="25">
        <v>6.2046666597598232</v>
      </c>
    </row>
    <row r="138" spans="1:1" x14ac:dyDescent="0.35">
      <c r="A138" s="25">
        <v>6.6616240827715956</v>
      </c>
    </row>
    <row r="139" spans="1:1" x14ac:dyDescent="0.35">
      <c r="A139" s="25">
        <v>4.8338853401946835</v>
      </c>
    </row>
    <row r="140" spans="1:1" x14ac:dyDescent="0.35">
      <c r="A140" s="25">
        <v>8.6244819057174027</v>
      </c>
    </row>
    <row r="141" spans="1:1" x14ac:dyDescent="0.35">
      <c r="A141" s="25">
        <v>9.7487264964729548</v>
      </c>
    </row>
    <row r="142" spans="1:1" x14ac:dyDescent="0.35">
      <c r="A142" s="25">
        <v>6.1535121302586049</v>
      </c>
    </row>
    <row r="143" spans="1:1" x14ac:dyDescent="0.35">
      <c r="A143" s="25">
        <v>5.1092166712624021</v>
      </c>
    </row>
    <row r="144" spans="1:1" x14ac:dyDescent="0.35">
      <c r="A144" s="25">
        <v>4.7900863490940537</v>
      </c>
    </row>
    <row r="145" spans="1:1" x14ac:dyDescent="0.35">
      <c r="A145" s="25">
        <v>3.3454927132697776</v>
      </c>
    </row>
    <row r="146" spans="1:1" x14ac:dyDescent="0.35">
      <c r="A146" s="25">
        <v>-0.33604179508984089</v>
      </c>
    </row>
    <row r="147" spans="1:1" x14ac:dyDescent="0.35">
      <c r="A147" s="25">
        <v>7.3973279894562438</v>
      </c>
    </row>
    <row r="148" spans="1:1" x14ac:dyDescent="0.35">
      <c r="A148" s="25">
        <v>6.1982501746388152</v>
      </c>
    </row>
    <row r="149" spans="1:1" x14ac:dyDescent="0.35">
      <c r="A149" s="25">
        <v>3.8461263455974404</v>
      </c>
    </row>
    <row r="150" spans="1:1" x14ac:dyDescent="0.35">
      <c r="A150" s="25">
        <v>3.8888703228440136</v>
      </c>
    </row>
    <row r="151" spans="1:1" x14ac:dyDescent="0.35">
      <c r="A151" s="25">
        <v>10.284164217300713</v>
      </c>
    </row>
    <row r="152" spans="1:1" x14ac:dyDescent="0.35">
      <c r="A152" s="25">
        <v>7.7192072593607008</v>
      </c>
    </row>
    <row r="153" spans="1:1" x14ac:dyDescent="0.35">
      <c r="A153" s="25">
        <v>7.3932534531923011</v>
      </c>
    </row>
    <row r="154" spans="1:1" x14ac:dyDescent="0.35">
      <c r="A154" s="25">
        <v>6.6982016859401483</v>
      </c>
    </row>
    <row r="155" spans="1:1" x14ac:dyDescent="0.35">
      <c r="A155" s="25">
        <v>1.8084375723265111</v>
      </c>
    </row>
    <row r="156" spans="1:1" x14ac:dyDescent="0.35">
      <c r="A156" s="25">
        <v>3.7828368830378167</v>
      </c>
    </row>
    <row r="157" spans="1:1" x14ac:dyDescent="0.35">
      <c r="A157" s="25">
        <v>3.3801444614073262</v>
      </c>
    </row>
    <row r="158" spans="1:1" x14ac:dyDescent="0.35">
      <c r="A158" s="25">
        <v>5.5000310920877382</v>
      </c>
    </row>
    <row r="159" spans="1:1" x14ac:dyDescent="0.35">
      <c r="A159" s="25">
        <v>4.7021654962736648</v>
      </c>
    </row>
    <row r="160" spans="1:1" x14ac:dyDescent="0.35">
      <c r="A160" s="25">
        <v>5.1239300218003336</v>
      </c>
    </row>
    <row r="161" spans="1:1" x14ac:dyDescent="0.35">
      <c r="A161" s="25">
        <v>0.37729308940470219</v>
      </c>
    </row>
    <row r="162" spans="1:1" x14ac:dyDescent="0.35">
      <c r="A162" s="25">
        <v>2.818295014440082</v>
      </c>
    </row>
    <row r="163" spans="1:1" x14ac:dyDescent="0.35">
      <c r="A163" s="25">
        <v>2.5837363308528438</v>
      </c>
    </row>
    <row r="164" spans="1:1" x14ac:dyDescent="0.35">
      <c r="A164" s="25">
        <v>3.8379840942798182</v>
      </c>
    </row>
    <row r="165" spans="1:1" x14ac:dyDescent="0.35">
      <c r="A165" s="25">
        <v>4.9650390236638486</v>
      </c>
    </row>
    <row r="166" spans="1:1" x14ac:dyDescent="0.35">
      <c r="A166" s="25">
        <v>3.4686201059957966</v>
      </c>
    </row>
    <row r="167" spans="1:1" x14ac:dyDescent="0.35">
      <c r="A167" s="25">
        <v>7.7421356207923964</v>
      </c>
    </row>
    <row r="168" spans="1:1" x14ac:dyDescent="0.35">
      <c r="A168" s="25">
        <v>6.4337092579808086</v>
      </c>
    </row>
    <row r="169" spans="1:1" x14ac:dyDescent="0.35">
      <c r="A169" s="25">
        <v>3.5806971380952746</v>
      </c>
    </row>
    <row r="170" spans="1:1" x14ac:dyDescent="0.35">
      <c r="A170" s="25">
        <v>7.0049628801643848</v>
      </c>
    </row>
    <row r="171" spans="1:1" x14ac:dyDescent="0.35">
      <c r="A171" s="25">
        <v>3.03559148858767</v>
      </c>
    </row>
    <row r="172" spans="1:1" x14ac:dyDescent="0.35">
      <c r="A172" s="25">
        <v>5.7657740752620157</v>
      </c>
    </row>
    <row r="173" spans="1:1" x14ac:dyDescent="0.35">
      <c r="A173" s="25">
        <v>6.8678110791370273</v>
      </c>
    </row>
    <row r="174" spans="1:1" x14ac:dyDescent="0.35">
      <c r="A174" s="25">
        <v>8.2905063562793657</v>
      </c>
    </row>
    <row r="175" spans="1:1" x14ac:dyDescent="0.35">
      <c r="A175" s="25">
        <v>4.7720783539989498</v>
      </c>
    </row>
    <row r="176" spans="1:1" x14ac:dyDescent="0.35">
      <c r="A176" s="25">
        <v>3.8801118888659403</v>
      </c>
    </row>
    <row r="177" spans="1:1" x14ac:dyDescent="0.35">
      <c r="A177" s="25">
        <v>3.8587524057948031</v>
      </c>
    </row>
    <row r="178" spans="1:1" x14ac:dyDescent="0.35">
      <c r="A178" s="25">
        <v>6.0372514225309715</v>
      </c>
    </row>
    <row r="179" spans="1:1" x14ac:dyDescent="0.35">
      <c r="A179" s="25">
        <v>2.1505758367129602</v>
      </c>
    </row>
    <row r="180" spans="1:1" x14ac:dyDescent="0.35">
      <c r="A180" s="25">
        <v>2.3052672430640087</v>
      </c>
    </row>
    <row r="181" spans="1:1" x14ac:dyDescent="0.35">
      <c r="A181" s="25">
        <v>2.0773387758526951</v>
      </c>
    </row>
    <row r="182" spans="1:1" x14ac:dyDescent="0.35">
      <c r="A182" s="25">
        <v>3.0794791554217227</v>
      </c>
    </row>
    <row r="183" spans="1:1" x14ac:dyDescent="0.35">
      <c r="A183" s="25">
        <v>8.0947830964578316</v>
      </c>
    </row>
    <row r="184" spans="1:1" x14ac:dyDescent="0.35">
      <c r="A184" s="25">
        <v>4.2642688084742986</v>
      </c>
    </row>
    <row r="185" spans="1:1" x14ac:dyDescent="0.35">
      <c r="A185" s="25">
        <v>5.9773270903679077</v>
      </c>
    </row>
    <row r="186" spans="1:1" x14ac:dyDescent="0.35">
      <c r="A186" s="25">
        <v>2.7670995576772839</v>
      </c>
    </row>
    <row r="187" spans="1:1" x14ac:dyDescent="0.35">
      <c r="A187" s="25">
        <v>4.6195856510894373</v>
      </c>
    </row>
    <row r="188" spans="1:1" x14ac:dyDescent="0.35">
      <c r="A188" s="25">
        <v>4.2347193256136961</v>
      </c>
    </row>
    <row r="189" spans="1:1" x14ac:dyDescent="0.35">
      <c r="A189" s="25">
        <v>5.5639094524667598</v>
      </c>
    </row>
    <row r="190" spans="1:1" x14ac:dyDescent="0.35">
      <c r="A190" s="25">
        <v>7.1698178898077458</v>
      </c>
    </row>
    <row r="191" spans="1:1" x14ac:dyDescent="0.35">
      <c r="A191" s="25">
        <v>2.1501529216766357</v>
      </c>
    </row>
    <row r="192" spans="1:1" x14ac:dyDescent="0.35">
      <c r="A192" s="25">
        <v>7.180595402023755</v>
      </c>
    </row>
    <row r="193" spans="1:1" x14ac:dyDescent="0.35">
      <c r="A193" s="25">
        <v>6.1195288607268594</v>
      </c>
    </row>
    <row r="194" spans="1:1" x14ac:dyDescent="0.35">
      <c r="A194" s="25">
        <v>5.1516900738351978</v>
      </c>
    </row>
    <row r="195" spans="1:1" x14ac:dyDescent="0.35">
      <c r="A195" s="25">
        <v>5.101863406598568</v>
      </c>
    </row>
    <row r="196" spans="1:1" x14ac:dyDescent="0.35">
      <c r="A196" s="25">
        <v>2.0831140672089532</v>
      </c>
    </row>
    <row r="197" spans="1:1" x14ac:dyDescent="0.35">
      <c r="A197" s="25">
        <v>6.5741898096166551</v>
      </c>
    </row>
    <row r="198" spans="1:1" x14ac:dyDescent="0.35">
      <c r="A198" s="25">
        <v>3.5777412803145126</v>
      </c>
    </row>
    <row r="199" spans="1:1" x14ac:dyDescent="0.35">
      <c r="A199" s="25">
        <v>5.105540038930485</v>
      </c>
    </row>
    <row r="200" spans="1:1" x14ac:dyDescent="0.35">
      <c r="A200" s="25">
        <v>9.8266156227327883</v>
      </c>
    </row>
    <row r="201" spans="1:1" x14ac:dyDescent="0.35">
      <c r="A201" s="25">
        <v>4.2988659869297408</v>
      </c>
    </row>
    <row r="202" spans="1:1" x14ac:dyDescent="0.35">
      <c r="A202" s="25">
        <v>3.1634346113423817</v>
      </c>
    </row>
    <row r="203" spans="1:1" x14ac:dyDescent="0.35">
      <c r="A203" s="25">
        <v>5.5134597813594155</v>
      </c>
    </row>
    <row r="204" spans="1:1" x14ac:dyDescent="0.35">
      <c r="A204" s="25">
        <v>3.6460716172587126</v>
      </c>
    </row>
    <row r="205" spans="1:1" x14ac:dyDescent="0.35">
      <c r="A205" s="25">
        <v>4.9123815541679505</v>
      </c>
    </row>
    <row r="206" spans="1:1" x14ac:dyDescent="0.35">
      <c r="A206" s="25">
        <v>9.9188383854925632</v>
      </c>
    </row>
    <row r="207" spans="1:1" x14ac:dyDescent="0.35">
      <c r="A207" s="25">
        <v>2.494701347022783</v>
      </c>
    </row>
    <row r="208" spans="1:1" x14ac:dyDescent="0.35">
      <c r="A208" s="25">
        <v>5.0658769749861676</v>
      </c>
    </row>
    <row r="209" spans="1:1" x14ac:dyDescent="0.35">
      <c r="A209" s="25">
        <v>5.1518424141977448</v>
      </c>
    </row>
    <row r="210" spans="1:1" x14ac:dyDescent="0.35">
      <c r="A210" s="25">
        <v>6.9358594727236778</v>
      </c>
    </row>
    <row r="211" spans="1:1" x14ac:dyDescent="0.35">
      <c r="A211" s="25">
        <v>2.7211427903966978</v>
      </c>
    </row>
    <row r="212" spans="1:1" x14ac:dyDescent="0.35">
      <c r="A212" s="25">
        <v>4.1443610269925557</v>
      </c>
    </row>
    <row r="213" spans="1:1" x14ac:dyDescent="0.35">
      <c r="A213" s="25">
        <v>7.0804873201996088</v>
      </c>
    </row>
    <row r="214" spans="1:1" x14ac:dyDescent="0.35">
      <c r="A214" s="25">
        <v>3.1423388817347586</v>
      </c>
    </row>
    <row r="215" spans="1:1" x14ac:dyDescent="0.35">
      <c r="A215" s="25">
        <v>3.3780207912786864</v>
      </c>
    </row>
    <row r="216" spans="1:1" x14ac:dyDescent="0.35">
      <c r="A216" s="25">
        <v>5.9477798812440597</v>
      </c>
    </row>
    <row r="217" spans="1:1" x14ac:dyDescent="0.35">
      <c r="A217" s="25">
        <v>3.713419699924998</v>
      </c>
    </row>
    <row r="218" spans="1:1" x14ac:dyDescent="0.35">
      <c r="A218" s="25">
        <v>7.6327097657485865</v>
      </c>
    </row>
    <row r="219" spans="1:1" x14ac:dyDescent="0.35">
      <c r="A219" s="25">
        <v>3.3630959832225926</v>
      </c>
    </row>
    <row r="220" spans="1:1" x14ac:dyDescent="0.35">
      <c r="A220" s="25">
        <v>8.5025550459977239</v>
      </c>
    </row>
    <row r="221" spans="1:1" x14ac:dyDescent="0.35">
      <c r="A221" s="25">
        <v>2.668828655150719</v>
      </c>
    </row>
    <row r="222" spans="1:1" x14ac:dyDescent="0.35">
      <c r="A222" s="25">
        <v>6.076657554222038</v>
      </c>
    </row>
    <row r="223" spans="1:1" x14ac:dyDescent="0.35">
      <c r="A223" s="25">
        <v>3.6137618179782294</v>
      </c>
    </row>
    <row r="224" spans="1:1" x14ac:dyDescent="0.35">
      <c r="A224" s="25">
        <v>6.5523846741416492</v>
      </c>
    </row>
    <row r="225" spans="1:1" x14ac:dyDescent="0.35">
      <c r="A225" s="25">
        <v>2.9097628965973854</v>
      </c>
    </row>
    <row r="226" spans="1:1" x14ac:dyDescent="0.35">
      <c r="A226" s="25">
        <v>3.8645095072570257</v>
      </c>
    </row>
    <row r="227" spans="1:1" x14ac:dyDescent="0.35">
      <c r="A227" s="25">
        <v>2.8989035298582166</v>
      </c>
    </row>
    <row r="228" spans="1:1" x14ac:dyDescent="0.35">
      <c r="A228" s="25">
        <v>3.8652280080714263</v>
      </c>
    </row>
    <row r="229" spans="1:1" x14ac:dyDescent="0.35">
      <c r="A229" s="25">
        <v>5.3637569534475915</v>
      </c>
    </row>
    <row r="230" spans="1:1" x14ac:dyDescent="0.35">
      <c r="A230" s="25">
        <v>4.9328974809031934</v>
      </c>
    </row>
    <row r="231" spans="1:1" x14ac:dyDescent="0.35">
      <c r="A231" s="25">
        <v>3.7784167387872003</v>
      </c>
    </row>
    <row r="232" spans="1:1" x14ac:dyDescent="0.35">
      <c r="A232" s="25">
        <v>3.8167269293626305</v>
      </c>
    </row>
    <row r="233" spans="1:1" x14ac:dyDescent="0.35">
      <c r="A233" s="25">
        <v>7.1560845198109746</v>
      </c>
    </row>
    <row r="234" spans="1:1" x14ac:dyDescent="0.35">
      <c r="A234" s="25">
        <v>6.5170598999247886</v>
      </c>
    </row>
    <row r="235" spans="1:1" x14ac:dyDescent="0.35">
      <c r="A235" s="25">
        <v>2.7530615069554187</v>
      </c>
    </row>
    <row r="236" spans="1:1" x14ac:dyDescent="0.35">
      <c r="A236" s="25">
        <v>8.7271638575475663</v>
      </c>
    </row>
    <row r="237" spans="1:1" x14ac:dyDescent="0.35">
      <c r="A237" s="25">
        <v>5.5288120519253425</v>
      </c>
    </row>
    <row r="238" spans="1:1" x14ac:dyDescent="0.35">
      <c r="A238" s="25">
        <v>3.1484552336041816</v>
      </c>
    </row>
    <row r="239" spans="1:1" x14ac:dyDescent="0.35">
      <c r="A239" s="25">
        <v>6.2402597349137068</v>
      </c>
    </row>
    <row r="240" spans="1:1" x14ac:dyDescent="0.35">
      <c r="A240" s="25">
        <v>5.5441961548058316</v>
      </c>
    </row>
    <row r="241" spans="1:1" x14ac:dyDescent="0.35">
      <c r="A241" s="25">
        <v>6.5026171240606345</v>
      </c>
    </row>
    <row r="242" spans="1:1" x14ac:dyDescent="0.35">
      <c r="A242" s="25">
        <v>3.0621805661940016</v>
      </c>
    </row>
    <row r="243" spans="1:1" x14ac:dyDescent="0.35">
      <c r="A243" s="25">
        <v>0.75253241346217692</v>
      </c>
    </row>
    <row r="244" spans="1:1" x14ac:dyDescent="0.35">
      <c r="A244" s="25">
        <v>6.4563511285814457</v>
      </c>
    </row>
    <row r="245" spans="1:1" x14ac:dyDescent="0.35">
      <c r="A245" s="25">
        <v>8.3694232115522027</v>
      </c>
    </row>
    <row r="246" spans="1:1" x14ac:dyDescent="0.35">
      <c r="A246" s="25">
        <v>5.2907199814217165</v>
      </c>
    </row>
    <row r="247" spans="1:1" x14ac:dyDescent="0.35">
      <c r="A247" s="25">
        <v>4.0728838383802213</v>
      </c>
    </row>
    <row r="248" spans="1:1" x14ac:dyDescent="0.35">
      <c r="A248" s="25">
        <v>5.4529647412709892</v>
      </c>
    </row>
    <row r="249" spans="1:1" x14ac:dyDescent="0.35">
      <c r="A249" s="25">
        <v>6.3714907254325226</v>
      </c>
    </row>
    <row r="250" spans="1:1" x14ac:dyDescent="0.35">
      <c r="A250" s="25">
        <v>7.7939586288994178</v>
      </c>
    </row>
    <row r="251" spans="1:1" x14ac:dyDescent="0.35">
      <c r="A251" s="25">
        <v>3.748594407516066</v>
      </c>
    </row>
    <row r="252" spans="1:1" x14ac:dyDescent="0.35">
      <c r="A252" s="25">
        <v>6.3807948562316597</v>
      </c>
    </row>
    <row r="253" spans="1:1" x14ac:dyDescent="0.35">
      <c r="A253" s="25">
        <v>0.98006979795172811</v>
      </c>
    </row>
    <row r="254" spans="1:1" x14ac:dyDescent="0.35">
      <c r="A254" s="25">
        <v>5.1939224603120238</v>
      </c>
    </row>
    <row r="255" spans="1:1" x14ac:dyDescent="0.35">
      <c r="A255" s="25">
        <v>8.6671917769126594</v>
      </c>
    </row>
    <row r="256" spans="1:1" x14ac:dyDescent="0.35">
      <c r="A256" s="25">
        <v>4.7873169377271552</v>
      </c>
    </row>
    <row r="257" spans="1:1" x14ac:dyDescent="0.35">
      <c r="A257" s="25">
        <v>1.4931703289039433</v>
      </c>
    </row>
    <row r="258" spans="1:1" x14ac:dyDescent="0.35">
      <c r="A258" s="25">
        <v>4.9327451405406464</v>
      </c>
    </row>
    <row r="259" spans="1:1" x14ac:dyDescent="0.35">
      <c r="A259" s="25">
        <v>9.6681088861078024</v>
      </c>
    </row>
    <row r="260" spans="1:1" x14ac:dyDescent="0.35">
      <c r="A260" s="25">
        <v>3.1484552336041816</v>
      </c>
    </row>
    <row r="261" spans="1:1" x14ac:dyDescent="0.35">
      <c r="A261" s="25">
        <v>4.1321055858861655</v>
      </c>
    </row>
    <row r="262" spans="1:1" x14ac:dyDescent="0.35">
      <c r="A262" s="25">
        <v>6.6039757610997185</v>
      </c>
    </row>
    <row r="263" spans="1:1" x14ac:dyDescent="0.35">
      <c r="A263" s="25">
        <v>8.2180741982301697</v>
      </c>
    </row>
    <row r="264" spans="1:1" x14ac:dyDescent="0.35">
      <c r="A264" s="25">
        <v>5.1041598807205446</v>
      </c>
    </row>
    <row r="265" spans="1:1" x14ac:dyDescent="0.35">
      <c r="A265" s="25">
        <v>3.7789692568185274</v>
      </c>
    </row>
    <row r="266" spans="1:1" x14ac:dyDescent="0.35">
      <c r="A266" s="25">
        <v>3.6837337928591296</v>
      </c>
    </row>
    <row r="267" spans="1:1" x14ac:dyDescent="0.35">
      <c r="A267" s="25">
        <v>2.7579454935039394</v>
      </c>
    </row>
    <row r="268" spans="1:1" x14ac:dyDescent="0.35">
      <c r="A268" s="25">
        <v>7.775809662125539</v>
      </c>
    </row>
    <row r="269" spans="1:1" x14ac:dyDescent="0.35">
      <c r="A269" s="25">
        <v>2.5584705680375919</v>
      </c>
    </row>
    <row r="270" spans="1:1" x14ac:dyDescent="0.35">
      <c r="A270" s="25">
        <v>9.6051718527451158</v>
      </c>
    </row>
    <row r="271" spans="1:1" x14ac:dyDescent="0.35">
      <c r="A271" s="25">
        <v>2.71468537801411</v>
      </c>
    </row>
    <row r="272" spans="1:1" x14ac:dyDescent="0.35">
      <c r="A272" s="25">
        <v>4.7446457200567238</v>
      </c>
    </row>
    <row r="273" spans="1:1" x14ac:dyDescent="0.35">
      <c r="A273" s="25">
        <v>5.648497007205151</v>
      </c>
    </row>
    <row r="274" spans="1:1" x14ac:dyDescent="0.35">
      <c r="A274" s="25">
        <v>2.5357468429137953</v>
      </c>
    </row>
    <row r="275" spans="1:1" x14ac:dyDescent="0.35">
      <c r="A275" s="25">
        <v>6.4047782315174118</v>
      </c>
    </row>
    <row r="276" spans="1:1" x14ac:dyDescent="0.35">
      <c r="A276" s="25">
        <v>5.4916682883049361</v>
      </c>
    </row>
    <row r="277" spans="1:1" x14ac:dyDescent="0.35">
      <c r="A277" s="25">
        <v>10.662150215357542</v>
      </c>
    </row>
    <row r="278" spans="1:1" x14ac:dyDescent="0.35">
      <c r="A278" s="25">
        <v>6.1238262231927365</v>
      </c>
    </row>
    <row r="279" spans="1:1" x14ac:dyDescent="0.35">
      <c r="A279" s="25">
        <v>4.0958190210221801</v>
      </c>
    </row>
    <row r="280" spans="1:1" x14ac:dyDescent="0.35">
      <c r="A280" s="25">
        <v>3.2022700351080857</v>
      </c>
    </row>
    <row r="281" spans="1:1" x14ac:dyDescent="0.35">
      <c r="A281" s="25">
        <v>2.4477441355702467</v>
      </c>
    </row>
    <row r="282" spans="1:1" x14ac:dyDescent="0.35">
      <c r="A282" s="25">
        <v>5.6214645509317052</v>
      </c>
    </row>
    <row r="283" spans="1:1" x14ac:dyDescent="0.35">
      <c r="A283" s="25">
        <v>4.9896726876613684</v>
      </c>
    </row>
    <row r="284" spans="1:1" x14ac:dyDescent="0.35">
      <c r="A284" s="25">
        <v>3.943801529094344</v>
      </c>
    </row>
    <row r="285" spans="1:1" x14ac:dyDescent="0.35">
      <c r="A285" s="25">
        <v>7.2882522898726165</v>
      </c>
    </row>
    <row r="286" spans="1:1" x14ac:dyDescent="0.35">
      <c r="A286" s="25">
        <v>7.9093735065544024</v>
      </c>
    </row>
    <row r="287" spans="1:1" x14ac:dyDescent="0.35">
      <c r="A287" s="25">
        <v>6.6863850760273635</v>
      </c>
    </row>
    <row r="288" spans="1:1" x14ac:dyDescent="0.35">
      <c r="A288" s="25">
        <v>4.8693238012492657</v>
      </c>
    </row>
    <row r="289" spans="1:1" x14ac:dyDescent="0.35">
      <c r="A289" s="25">
        <v>7.4606606530142017</v>
      </c>
    </row>
    <row r="290" spans="1:1" x14ac:dyDescent="0.35">
      <c r="A290" s="25">
        <v>7.3012580641079694</v>
      </c>
    </row>
    <row r="291" spans="1:1" x14ac:dyDescent="0.35">
      <c r="A291" s="25">
        <v>2.1777469909284264</v>
      </c>
    </row>
    <row r="292" spans="1:1" x14ac:dyDescent="0.35">
      <c r="A292" s="25">
        <v>7.7172791305929422</v>
      </c>
    </row>
    <row r="293" spans="1:1" x14ac:dyDescent="0.35">
      <c r="A293" s="25">
        <v>6.8421724234940484</v>
      </c>
    </row>
    <row r="294" spans="1:1" x14ac:dyDescent="0.35">
      <c r="A294" s="25">
        <v>2.6853450789349154</v>
      </c>
    </row>
    <row r="295" spans="1:1" x14ac:dyDescent="0.35">
      <c r="A295" s="25">
        <v>7.1720234144595452</v>
      </c>
    </row>
    <row r="296" spans="1:1" x14ac:dyDescent="0.35">
      <c r="A296" s="25">
        <v>1.2977290124399588</v>
      </c>
    </row>
    <row r="297" spans="1:1" x14ac:dyDescent="0.35">
      <c r="A297" s="25">
        <v>7.8148133424110711</v>
      </c>
    </row>
    <row r="298" spans="1:1" x14ac:dyDescent="0.35">
      <c r="A298" s="25">
        <v>7.5265626391046681</v>
      </c>
    </row>
    <row r="299" spans="1:1" x14ac:dyDescent="0.35">
      <c r="A299" s="25">
        <v>0.61609001830220222</v>
      </c>
    </row>
    <row r="300" spans="1:1" x14ac:dyDescent="0.35">
      <c r="A300" s="25">
        <v>2.5565333443228155</v>
      </c>
    </row>
    <row r="301" spans="1:1" x14ac:dyDescent="0.35">
      <c r="A301" s="25">
        <v>3.3555971994064748</v>
      </c>
    </row>
    <row r="302" spans="1:1" x14ac:dyDescent="0.35">
      <c r="A302" s="25">
        <v>2.0773387758526951</v>
      </c>
    </row>
    <row r="303" spans="1:1" x14ac:dyDescent="0.35">
      <c r="A303" s="25">
        <v>5.5553192750085145</v>
      </c>
    </row>
    <row r="304" spans="1:1" x14ac:dyDescent="0.35">
      <c r="A304" s="25">
        <v>4.0893752510601189</v>
      </c>
    </row>
    <row r="305" spans="1:1" x14ac:dyDescent="0.35">
      <c r="A305" s="25">
        <v>4.9206511347438209</v>
      </c>
    </row>
    <row r="306" spans="1:1" x14ac:dyDescent="0.35">
      <c r="A306" s="25">
        <v>6.2254577086423524</v>
      </c>
    </row>
    <row r="307" spans="1:1" x14ac:dyDescent="0.35">
      <c r="A307" s="25">
        <v>4.4787890500447247</v>
      </c>
    </row>
    <row r="308" spans="1:1" x14ac:dyDescent="0.35">
      <c r="A308" s="25">
        <v>8.1602485250914469</v>
      </c>
    </row>
    <row r="309" spans="1:1" x14ac:dyDescent="0.35">
      <c r="A309" s="25">
        <v>7.3469374355045147</v>
      </c>
    </row>
    <row r="310" spans="1:1" x14ac:dyDescent="0.35">
      <c r="A310" s="25">
        <v>3.3079351295600645</v>
      </c>
    </row>
    <row r="311" spans="1:1" x14ac:dyDescent="0.35">
      <c r="A311" s="25">
        <v>6.686166797298938</v>
      </c>
    </row>
    <row r="312" spans="1:1" x14ac:dyDescent="0.35">
      <c r="A312" s="25">
        <v>9.0479972085449845</v>
      </c>
    </row>
    <row r="313" spans="1:1" x14ac:dyDescent="0.35">
      <c r="A313" s="25">
        <v>0.72741216979920864</v>
      </c>
    </row>
    <row r="314" spans="1:1" x14ac:dyDescent="0.35">
      <c r="A314" s="25">
        <v>2.6823528413660824</v>
      </c>
    </row>
    <row r="315" spans="1:1" x14ac:dyDescent="0.35">
      <c r="A315" s="25">
        <v>6.908906597236637</v>
      </c>
    </row>
    <row r="316" spans="1:1" x14ac:dyDescent="0.35">
      <c r="A316" s="25">
        <v>1.8919746606843546</v>
      </c>
    </row>
    <row r="317" spans="1:1" x14ac:dyDescent="0.35">
      <c r="A317" s="25">
        <v>5.0972681846178602</v>
      </c>
    </row>
    <row r="318" spans="1:1" x14ac:dyDescent="0.35">
      <c r="A318" s="25">
        <v>5.4614457793650217</v>
      </c>
    </row>
    <row r="319" spans="1:1" x14ac:dyDescent="0.35">
      <c r="A319" s="25">
        <v>6.9304934539832175</v>
      </c>
    </row>
    <row r="320" spans="1:1" x14ac:dyDescent="0.35">
      <c r="A320" s="25">
        <v>6.8198397810920142</v>
      </c>
    </row>
    <row r="321" spans="1:1" x14ac:dyDescent="0.35">
      <c r="A321" s="25">
        <v>9.3490945245139301</v>
      </c>
    </row>
    <row r="322" spans="1:1" x14ac:dyDescent="0.35">
      <c r="A322" s="25">
        <v>7.0499783204286359</v>
      </c>
    </row>
    <row r="323" spans="1:1" x14ac:dyDescent="0.35">
      <c r="A323" s="25">
        <v>4.8667180989286862</v>
      </c>
    </row>
    <row r="324" spans="1:1" x14ac:dyDescent="0.35">
      <c r="A324" s="25">
        <v>5.3142440618830733</v>
      </c>
    </row>
    <row r="325" spans="1:1" x14ac:dyDescent="0.35">
      <c r="A325" s="25">
        <v>2.1681972965598106</v>
      </c>
    </row>
    <row r="326" spans="1:1" x14ac:dyDescent="0.35">
      <c r="A326" s="25">
        <v>5.6438222044380382</v>
      </c>
    </row>
    <row r="327" spans="1:1" x14ac:dyDescent="0.35">
      <c r="A327" s="25">
        <v>7.1687128537450917</v>
      </c>
    </row>
    <row r="328" spans="1:1" x14ac:dyDescent="0.35">
      <c r="A328" s="25">
        <v>5.1308285391132813</v>
      </c>
    </row>
    <row r="329" spans="1:1" x14ac:dyDescent="0.35">
      <c r="A329" s="25">
        <v>7.7172791305929422</v>
      </c>
    </row>
    <row r="330" spans="1:1" x14ac:dyDescent="0.35">
      <c r="A330" s="25">
        <v>5.6970685717533343</v>
      </c>
    </row>
    <row r="331" spans="1:1" x14ac:dyDescent="0.35">
      <c r="A331" s="25">
        <v>3.4721080181770958</v>
      </c>
    </row>
    <row r="332" spans="1:1" x14ac:dyDescent="0.35">
      <c r="A332" s="25">
        <v>4.8569023773598019</v>
      </c>
    </row>
    <row r="333" spans="1:1" x14ac:dyDescent="0.35">
      <c r="A333" s="25">
        <v>4.341657712648157</v>
      </c>
    </row>
    <row r="334" spans="1:1" x14ac:dyDescent="0.35">
      <c r="A334" s="25">
        <v>3.4847772793727927</v>
      </c>
    </row>
    <row r="335" spans="1:1" x14ac:dyDescent="0.35">
      <c r="A335" s="25">
        <v>1.3328082230873406</v>
      </c>
    </row>
    <row r="336" spans="1:1" x14ac:dyDescent="0.35">
      <c r="A336" s="25">
        <v>7.8736940294038504</v>
      </c>
    </row>
    <row r="337" spans="1:1" x14ac:dyDescent="0.35">
      <c r="A337" s="25">
        <v>5.1003309080260806</v>
      </c>
    </row>
    <row r="338" spans="1:1" x14ac:dyDescent="0.35">
      <c r="A338" s="25">
        <v>6.3755561667494476</v>
      </c>
    </row>
    <row r="339" spans="1:1" x14ac:dyDescent="0.35">
      <c r="A339" s="25">
        <v>0.14766386710107327</v>
      </c>
    </row>
    <row r="340" spans="1:1" x14ac:dyDescent="0.35">
      <c r="A340" s="25">
        <v>6.8923265088233165</v>
      </c>
    </row>
    <row r="341" spans="1:1" x14ac:dyDescent="0.35">
      <c r="A341" s="25">
        <v>6.5375371731352061</v>
      </c>
    </row>
    <row r="342" spans="1:1" x14ac:dyDescent="0.35">
      <c r="A342" s="25">
        <v>6.2167947716079652</v>
      </c>
    </row>
    <row r="343" spans="1:1" x14ac:dyDescent="0.35">
      <c r="A343" s="25">
        <v>7.1289315554895438</v>
      </c>
    </row>
    <row r="344" spans="1:1" x14ac:dyDescent="0.35">
      <c r="A344" s="25">
        <v>7.4551263777539134</v>
      </c>
    </row>
    <row r="345" spans="1:1" x14ac:dyDescent="0.35">
      <c r="A345" s="25">
        <v>10.159454303793609</v>
      </c>
    </row>
    <row r="346" spans="1:1" x14ac:dyDescent="0.35">
      <c r="A346" s="25">
        <v>3.2182544044917449</v>
      </c>
    </row>
    <row r="347" spans="1:1" x14ac:dyDescent="0.35">
      <c r="A347" s="25">
        <v>3.4583473633392714</v>
      </c>
    </row>
    <row r="348" spans="1:1" x14ac:dyDescent="0.35">
      <c r="A348" s="25">
        <v>4.567573922831798</v>
      </c>
    </row>
    <row r="349" spans="1:1" x14ac:dyDescent="0.35">
      <c r="A349" s="25">
        <v>2.2365640132920817</v>
      </c>
    </row>
    <row r="350" spans="1:1" x14ac:dyDescent="0.35">
      <c r="A350" s="25">
        <v>4.5354096427035984</v>
      </c>
    </row>
    <row r="351" spans="1:1" x14ac:dyDescent="0.35">
      <c r="A351" s="25">
        <v>5.9467521522310562</v>
      </c>
    </row>
    <row r="352" spans="1:1" x14ac:dyDescent="0.35">
      <c r="A352" s="25">
        <v>7.4140445020748302</v>
      </c>
    </row>
    <row r="353" spans="1:1" x14ac:dyDescent="0.35">
      <c r="A353" s="25">
        <v>4.4354539012419991</v>
      </c>
    </row>
    <row r="354" spans="1:1" x14ac:dyDescent="0.35">
      <c r="A354" s="25">
        <v>4.7805457496724557</v>
      </c>
    </row>
    <row r="355" spans="1:1" x14ac:dyDescent="0.35">
      <c r="A355" s="25">
        <v>3.738717295054812</v>
      </c>
    </row>
    <row r="356" spans="1:1" x14ac:dyDescent="0.35">
      <c r="A356" s="25">
        <v>2.4690126691712067</v>
      </c>
    </row>
    <row r="357" spans="1:1" x14ac:dyDescent="0.35">
      <c r="A357" s="25">
        <v>4.6094538801116869</v>
      </c>
    </row>
    <row r="358" spans="1:1" x14ac:dyDescent="0.35">
      <c r="A358" s="25">
        <v>5.4444927981239744</v>
      </c>
    </row>
    <row r="359" spans="1:1" x14ac:dyDescent="0.35">
      <c r="A359" s="25">
        <v>4.0718606568407267</v>
      </c>
    </row>
    <row r="360" spans="1:1" x14ac:dyDescent="0.35">
      <c r="A360" s="25">
        <v>2.6901199261192232</v>
      </c>
    </row>
    <row r="361" spans="1:1" x14ac:dyDescent="0.35">
      <c r="A361" s="25">
        <v>2.7880906953942031</v>
      </c>
    </row>
    <row r="362" spans="1:1" x14ac:dyDescent="0.35">
      <c r="A362" s="25">
        <v>1.9843247527023777</v>
      </c>
    </row>
    <row r="363" spans="1:1" x14ac:dyDescent="0.35">
      <c r="A363" s="25">
        <v>3.520816006930545</v>
      </c>
    </row>
    <row r="364" spans="1:1" x14ac:dyDescent="0.35">
      <c r="A364" s="25">
        <v>6.8882610675063916</v>
      </c>
    </row>
    <row r="365" spans="1:1" x14ac:dyDescent="0.35">
      <c r="A365" s="25">
        <v>4.3502137840550859</v>
      </c>
    </row>
    <row r="366" spans="1:1" x14ac:dyDescent="0.35">
      <c r="A366" s="25">
        <v>4.50217898003757</v>
      </c>
    </row>
    <row r="367" spans="1:1" x14ac:dyDescent="0.35">
      <c r="A367" s="25">
        <v>6.5631576388841495</v>
      </c>
    </row>
    <row r="368" spans="1:1" x14ac:dyDescent="0.35">
      <c r="A368" s="25">
        <v>4.2164157447405159</v>
      </c>
    </row>
    <row r="369" spans="1:1" x14ac:dyDescent="0.35">
      <c r="A369" s="25">
        <v>5.9965083336282987</v>
      </c>
    </row>
    <row r="370" spans="1:1" x14ac:dyDescent="0.35">
      <c r="A370" s="25">
        <v>5.3159470907121431</v>
      </c>
    </row>
    <row r="371" spans="1:1" x14ac:dyDescent="0.35">
      <c r="A371" s="25">
        <v>6.0299072528141551</v>
      </c>
    </row>
    <row r="372" spans="1:1" x14ac:dyDescent="0.35">
      <c r="A372" s="25">
        <v>3.1850169206154533</v>
      </c>
    </row>
    <row r="373" spans="1:1" x14ac:dyDescent="0.35">
      <c r="A373" s="25">
        <v>2.975723999843467</v>
      </c>
    </row>
    <row r="374" spans="1:1" x14ac:dyDescent="0.35">
      <c r="A374" s="25">
        <v>3.1036035023862496</v>
      </c>
    </row>
    <row r="375" spans="1:1" x14ac:dyDescent="0.35">
      <c r="A375" s="25">
        <v>2.798777258140035</v>
      </c>
    </row>
    <row r="376" spans="1:1" x14ac:dyDescent="0.35">
      <c r="A376" s="25">
        <v>3.6124021233990788</v>
      </c>
    </row>
    <row r="377" spans="1:1" x14ac:dyDescent="0.35">
      <c r="A377" s="25">
        <v>4.0290461937547661</v>
      </c>
    </row>
    <row r="378" spans="1:1" x14ac:dyDescent="0.35">
      <c r="A378" s="25">
        <v>3.534858605125919</v>
      </c>
    </row>
    <row r="379" spans="1:1" x14ac:dyDescent="0.35">
      <c r="A379" s="25">
        <v>5.8165670806192793</v>
      </c>
    </row>
    <row r="380" spans="1:1" x14ac:dyDescent="0.35">
      <c r="A380" s="25">
        <v>5.733930392016191</v>
      </c>
    </row>
    <row r="381" spans="1:1" x14ac:dyDescent="0.35">
      <c r="A381" s="25">
        <v>8.8111829780973494</v>
      </c>
    </row>
    <row r="382" spans="1:1" x14ac:dyDescent="0.35">
      <c r="A382" s="25">
        <v>4.5518987816467416</v>
      </c>
    </row>
    <row r="383" spans="1:1" x14ac:dyDescent="0.35">
      <c r="A383" s="25">
        <v>4.9890610524744261</v>
      </c>
    </row>
    <row r="384" spans="1:1" x14ac:dyDescent="0.35">
      <c r="A384" s="25">
        <v>4.8901694198139012</v>
      </c>
    </row>
    <row r="385" spans="1:1" x14ac:dyDescent="0.35">
      <c r="A385" s="25">
        <v>8.2664684113115072</v>
      </c>
    </row>
    <row r="386" spans="1:1" x14ac:dyDescent="0.35">
      <c r="A386" s="25">
        <v>4.5514281181385741</v>
      </c>
    </row>
    <row r="387" spans="1:1" x14ac:dyDescent="0.35">
      <c r="A387" s="25">
        <v>5.3709146767505445</v>
      </c>
    </row>
    <row r="388" spans="1:1" x14ac:dyDescent="0.35">
      <c r="A388" s="25">
        <v>4.5818143361248076</v>
      </c>
    </row>
    <row r="389" spans="1:1" x14ac:dyDescent="0.35">
      <c r="A389" s="25">
        <v>4.7730014911212493</v>
      </c>
    </row>
    <row r="390" spans="1:1" x14ac:dyDescent="0.35">
      <c r="A390" s="25">
        <v>4.7797749529127032</v>
      </c>
    </row>
    <row r="391" spans="1:1" x14ac:dyDescent="0.35">
      <c r="A391" s="25">
        <v>2.9265976435272023</v>
      </c>
    </row>
    <row r="392" spans="1:1" x14ac:dyDescent="0.35">
      <c r="A392" s="25">
        <v>4.2491848388453946</v>
      </c>
    </row>
    <row r="393" spans="1:1" x14ac:dyDescent="0.35">
      <c r="A393" s="25">
        <v>3.664102349721361</v>
      </c>
    </row>
    <row r="394" spans="1:1" x14ac:dyDescent="0.35">
      <c r="A394" s="25">
        <v>4.6657584233616944</v>
      </c>
    </row>
    <row r="395" spans="1:1" x14ac:dyDescent="0.35">
      <c r="A395" s="25">
        <v>5.2072988536383491</v>
      </c>
    </row>
    <row r="396" spans="1:1" x14ac:dyDescent="0.35">
      <c r="A396" s="25">
        <v>7.7242276701144874</v>
      </c>
    </row>
    <row r="397" spans="1:1" x14ac:dyDescent="0.35">
      <c r="A397" s="25">
        <v>3.6913235261454247</v>
      </c>
    </row>
    <row r="398" spans="1:1" x14ac:dyDescent="0.35">
      <c r="A398" s="25">
        <v>6.1403471944504417</v>
      </c>
    </row>
    <row r="399" spans="1:1" x14ac:dyDescent="0.35">
      <c r="A399" s="25">
        <v>6.4957277016947046</v>
      </c>
    </row>
    <row r="400" spans="1:1" x14ac:dyDescent="0.35">
      <c r="A400" s="25">
        <v>2.4089269016985781</v>
      </c>
    </row>
    <row r="401" spans="1:1" x14ac:dyDescent="0.35">
      <c r="A401" s="25">
        <v>6.2517762115749065</v>
      </c>
    </row>
    <row r="402" spans="1:1" x14ac:dyDescent="0.35">
      <c r="A402" s="25">
        <v>3.2662029651692137</v>
      </c>
    </row>
    <row r="403" spans="1:1" x14ac:dyDescent="0.35">
      <c r="A403" s="25">
        <v>5.5189940566197038</v>
      </c>
    </row>
    <row r="404" spans="1:1" x14ac:dyDescent="0.35">
      <c r="A404" s="25">
        <v>7.0011748347315006</v>
      </c>
    </row>
    <row r="405" spans="1:1" x14ac:dyDescent="0.35">
      <c r="A405" s="25">
        <v>6.3581666280515492</v>
      </c>
    </row>
    <row r="406" spans="1:1" x14ac:dyDescent="0.35">
      <c r="A406" s="25">
        <v>5.268780695478199</v>
      </c>
    </row>
    <row r="407" spans="1:1" x14ac:dyDescent="0.35">
      <c r="A407" s="25">
        <v>6.7624870451982133</v>
      </c>
    </row>
    <row r="408" spans="1:1" x14ac:dyDescent="0.35">
      <c r="A408" s="25">
        <v>6.4799888958805241</v>
      </c>
    </row>
    <row r="409" spans="1:1" x14ac:dyDescent="0.35">
      <c r="A409" s="25">
        <v>1.2410947773605585</v>
      </c>
    </row>
    <row r="410" spans="1:1" x14ac:dyDescent="0.35">
      <c r="A410" s="25">
        <v>4.1524009601562284</v>
      </c>
    </row>
    <row r="411" spans="1:1" x14ac:dyDescent="0.35">
      <c r="A411" s="25">
        <v>3.0516349751269445</v>
      </c>
    </row>
    <row r="412" spans="1:1" x14ac:dyDescent="0.35">
      <c r="A412" s="25">
        <v>8.0142473406158388</v>
      </c>
    </row>
    <row r="413" spans="1:1" x14ac:dyDescent="0.35">
      <c r="A413" s="25">
        <v>7.2576114133698866</v>
      </c>
    </row>
    <row r="414" spans="1:1" x14ac:dyDescent="0.35">
      <c r="A414" s="25">
        <v>6.6168860383913852</v>
      </c>
    </row>
    <row r="415" spans="1:1" x14ac:dyDescent="0.35">
      <c r="A415" s="25">
        <v>8.5283756005810574</v>
      </c>
    </row>
    <row r="416" spans="1:1" x14ac:dyDescent="0.35">
      <c r="A416" s="25">
        <v>6.6927242540987208</v>
      </c>
    </row>
    <row r="417" spans="1:1" x14ac:dyDescent="0.35">
      <c r="A417" s="25">
        <v>3.9105867825855967</v>
      </c>
    </row>
    <row r="418" spans="1:1" x14ac:dyDescent="0.35">
      <c r="A418" s="25">
        <v>2.1581564750522375</v>
      </c>
    </row>
    <row r="419" spans="1:1" x14ac:dyDescent="0.35">
      <c r="A419" s="25">
        <v>5.2780461727525108</v>
      </c>
    </row>
    <row r="420" spans="1:1" x14ac:dyDescent="0.35">
      <c r="A420" s="25">
        <v>3.9208663464523852</v>
      </c>
    </row>
    <row r="421" spans="1:1" x14ac:dyDescent="0.35">
      <c r="A421" s="25">
        <v>1.8418796925107017</v>
      </c>
    </row>
    <row r="422" spans="1:1" x14ac:dyDescent="0.35">
      <c r="A422" s="25">
        <v>6.9461504052742384</v>
      </c>
    </row>
    <row r="423" spans="1:1" x14ac:dyDescent="0.35">
      <c r="A423" s="25">
        <v>6.5821251508896239</v>
      </c>
    </row>
    <row r="424" spans="1:1" x14ac:dyDescent="0.35">
      <c r="A424" s="25">
        <v>2.916092979721725</v>
      </c>
    </row>
    <row r="425" spans="1:1" x14ac:dyDescent="0.35">
      <c r="A425" s="25">
        <v>6.1333349902997725</v>
      </c>
    </row>
    <row r="426" spans="1:1" x14ac:dyDescent="0.35">
      <c r="A426" s="25">
        <v>5.7403173185593914</v>
      </c>
    </row>
    <row r="427" spans="1:1" x14ac:dyDescent="0.35">
      <c r="A427" s="25">
        <v>6.0107373782375362</v>
      </c>
    </row>
    <row r="428" spans="1:1" x14ac:dyDescent="0.35">
      <c r="A428" s="25">
        <v>4.3377809914818499</v>
      </c>
    </row>
    <row r="429" spans="1:1" x14ac:dyDescent="0.35">
      <c r="A429" s="25">
        <v>4.2286257111118175</v>
      </c>
    </row>
    <row r="430" spans="1:1" x14ac:dyDescent="0.35">
      <c r="A430" s="25">
        <v>4.6680844560614787</v>
      </c>
    </row>
    <row r="431" spans="1:1" x14ac:dyDescent="0.35">
      <c r="A431" s="25">
        <v>4.7480381352943368</v>
      </c>
    </row>
    <row r="432" spans="1:1" x14ac:dyDescent="0.35">
      <c r="A432" s="25">
        <v>2.2543355397647247</v>
      </c>
    </row>
    <row r="433" spans="1:1" x14ac:dyDescent="0.35">
      <c r="A433" s="25">
        <v>3.084808794374112</v>
      </c>
    </row>
    <row r="434" spans="1:1" x14ac:dyDescent="0.35">
      <c r="A434" s="25">
        <v>4.1671074894838966</v>
      </c>
    </row>
    <row r="435" spans="1:1" x14ac:dyDescent="0.35">
      <c r="A435" s="25">
        <v>7.4946075427578762</v>
      </c>
    </row>
    <row r="436" spans="1:1" x14ac:dyDescent="0.35">
      <c r="A436" s="25">
        <v>5.2440992830088362</v>
      </c>
    </row>
    <row r="437" spans="1:1" x14ac:dyDescent="0.35">
      <c r="A437" s="25">
        <v>5.4488856575335376</v>
      </c>
    </row>
    <row r="438" spans="1:1" x14ac:dyDescent="0.35">
      <c r="A438" s="25">
        <v>1.8236534186871722</v>
      </c>
    </row>
    <row r="439" spans="1:1" x14ac:dyDescent="0.35">
      <c r="A439" s="25">
        <v>5.4383809937280603</v>
      </c>
    </row>
    <row r="440" spans="1:1" x14ac:dyDescent="0.35">
      <c r="A440" s="25">
        <v>5.5403876457421575</v>
      </c>
    </row>
    <row r="441" spans="1:1" x14ac:dyDescent="0.35">
      <c r="A441" s="25">
        <v>9.2621832108125091</v>
      </c>
    </row>
    <row r="442" spans="1:1" x14ac:dyDescent="0.35">
      <c r="A442" s="25">
        <v>3.5290514814550988</v>
      </c>
    </row>
    <row r="443" spans="1:1" x14ac:dyDescent="0.35">
      <c r="A443" s="25">
        <v>6.6266631064354442</v>
      </c>
    </row>
    <row r="444" spans="1:1" x14ac:dyDescent="0.35">
      <c r="A444" s="25">
        <v>4.3952133081620559</v>
      </c>
    </row>
    <row r="445" spans="1:1" x14ac:dyDescent="0.35">
      <c r="A445" s="25">
        <v>6.3372391549637541</v>
      </c>
    </row>
    <row r="446" spans="1:1" x14ac:dyDescent="0.35">
      <c r="A446" s="25">
        <v>7.4708015189389698</v>
      </c>
    </row>
    <row r="447" spans="1:1" x14ac:dyDescent="0.35">
      <c r="A447" s="25">
        <v>3.8582112564472482</v>
      </c>
    </row>
    <row r="448" spans="1:1" x14ac:dyDescent="0.35">
      <c r="A448" s="25">
        <v>4.8466228134930134</v>
      </c>
    </row>
    <row r="449" spans="1:1" x14ac:dyDescent="0.35">
      <c r="A449" s="25">
        <v>6.9159142539137974</v>
      </c>
    </row>
    <row r="450" spans="1:1" x14ac:dyDescent="0.35">
      <c r="A450" s="25">
        <v>4.8860312189208344</v>
      </c>
    </row>
    <row r="451" spans="1:1" x14ac:dyDescent="0.35">
      <c r="A451" s="25">
        <v>4.4627842170302756</v>
      </c>
    </row>
    <row r="452" spans="1:1" x14ac:dyDescent="0.35">
      <c r="A452" s="25">
        <v>4.6525639289757237</v>
      </c>
    </row>
    <row r="453" spans="1:1" x14ac:dyDescent="0.35">
      <c r="A453" s="25">
        <v>4.4570725903031416</v>
      </c>
    </row>
    <row r="454" spans="1:1" x14ac:dyDescent="0.35">
      <c r="A454" s="25">
        <v>4.9177407516981475</v>
      </c>
    </row>
    <row r="455" spans="1:1" x14ac:dyDescent="0.35">
      <c r="A455" s="25">
        <v>3.3028965289122425</v>
      </c>
    </row>
    <row r="456" spans="1:1" x14ac:dyDescent="0.35">
      <c r="A456" s="25">
        <v>7.0668676370405592</v>
      </c>
    </row>
    <row r="457" spans="1:1" x14ac:dyDescent="0.35">
      <c r="A457" s="25">
        <v>6.3577800928032957</v>
      </c>
    </row>
    <row r="458" spans="1:1" x14ac:dyDescent="0.35">
      <c r="A458" s="25">
        <v>3.7055070960195735</v>
      </c>
    </row>
    <row r="459" spans="1:1" x14ac:dyDescent="0.35">
      <c r="A459" s="25">
        <v>3.6734565027290955</v>
      </c>
    </row>
    <row r="460" spans="1:1" x14ac:dyDescent="0.35">
      <c r="A460" s="25">
        <v>6.318546765105566</v>
      </c>
    </row>
    <row r="461" spans="1:1" x14ac:dyDescent="0.35">
      <c r="A461" s="25">
        <v>3.72262378630694</v>
      </c>
    </row>
    <row r="462" spans="1:1" x14ac:dyDescent="0.35">
      <c r="A462" s="25">
        <v>9.1478415369056165</v>
      </c>
    </row>
    <row r="463" spans="1:1" x14ac:dyDescent="0.35">
      <c r="A463" s="25">
        <v>6.6264493751805276</v>
      </c>
    </row>
    <row r="464" spans="1:1" x14ac:dyDescent="0.35">
      <c r="A464" s="25">
        <v>5.6441450750571676</v>
      </c>
    </row>
    <row r="465" spans="1:1" x14ac:dyDescent="0.35">
      <c r="A465" s="25">
        <v>3.9245816323091276</v>
      </c>
    </row>
    <row r="466" spans="1:1" x14ac:dyDescent="0.35">
      <c r="A466" s="25">
        <v>4.2249968272517435</v>
      </c>
    </row>
    <row r="467" spans="1:1" x14ac:dyDescent="0.35">
      <c r="A467" s="25">
        <v>6.4880470189382322</v>
      </c>
    </row>
    <row r="468" spans="1:1" x14ac:dyDescent="0.35">
      <c r="A468" s="25">
        <v>8.330242179799825</v>
      </c>
    </row>
    <row r="469" spans="1:1" x14ac:dyDescent="0.35">
      <c r="A469" s="25">
        <v>8.8140024116728455</v>
      </c>
    </row>
    <row r="470" spans="1:1" x14ac:dyDescent="0.35">
      <c r="A470" s="25">
        <v>0.79393261228688061</v>
      </c>
    </row>
    <row r="471" spans="1:1" x14ac:dyDescent="0.35">
      <c r="A471" s="25">
        <v>6.041803443513345</v>
      </c>
    </row>
    <row r="472" spans="1:1" x14ac:dyDescent="0.35">
      <c r="A472" s="25">
        <v>3.9256411936366931</v>
      </c>
    </row>
    <row r="473" spans="1:1" x14ac:dyDescent="0.35">
      <c r="A473" s="25">
        <v>6.6414014680776745</v>
      </c>
    </row>
    <row r="474" spans="1:1" x14ac:dyDescent="0.35">
      <c r="A474" s="25">
        <v>3.9875232131453231</v>
      </c>
    </row>
    <row r="475" spans="1:1" x14ac:dyDescent="0.35">
      <c r="A475" s="25">
        <v>5.6251593731576577</v>
      </c>
    </row>
    <row r="476" spans="1:1" x14ac:dyDescent="0.35">
      <c r="A476" s="25">
        <v>9.3234103941358626</v>
      </c>
    </row>
    <row r="477" spans="1:1" x14ac:dyDescent="0.35">
      <c r="A477" s="25">
        <v>7.1056166588095948</v>
      </c>
    </row>
    <row r="478" spans="1:1" x14ac:dyDescent="0.35">
      <c r="A478" s="25">
        <v>3.4343457981594838</v>
      </c>
    </row>
    <row r="479" spans="1:1" x14ac:dyDescent="0.35">
      <c r="A479" s="25">
        <v>3.3873567543923855</v>
      </c>
    </row>
    <row r="480" spans="1:1" x14ac:dyDescent="0.35">
      <c r="A480" s="25">
        <v>5.0113982423499692</v>
      </c>
    </row>
    <row r="481" spans="1:1" x14ac:dyDescent="0.35">
      <c r="A481" s="25">
        <v>6.3701355783268809</v>
      </c>
    </row>
    <row r="482" spans="1:1" x14ac:dyDescent="0.35">
      <c r="A482" s="25">
        <v>3.8817239682248328</v>
      </c>
    </row>
    <row r="483" spans="1:1" x14ac:dyDescent="0.35">
      <c r="A483" s="25">
        <v>3.9861316862516105</v>
      </c>
    </row>
    <row r="484" spans="1:1" x14ac:dyDescent="0.35">
      <c r="A484" s="25">
        <v>4.6368660504231229</v>
      </c>
    </row>
    <row r="485" spans="1:1" x14ac:dyDescent="0.35">
      <c r="A485" s="25">
        <v>7.6436646294314414</v>
      </c>
    </row>
    <row r="486" spans="1:1" x14ac:dyDescent="0.35">
      <c r="A486" s="25">
        <v>4.0592323229066096</v>
      </c>
    </row>
    <row r="487" spans="1:1" x14ac:dyDescent="0.35">
      <c r="A487" s="25">
        <v>7.4402424969593994</v>
      </c>
    </row>
    <row r="488" spans="1:1" x14ac:dyDescent="0.35">
      <c r="A488" s="25">
        <v>3.3290672389557585</v>
      </c>
    </row>
    <row r="489" spans="1:1" x14ac:dyDescent="0.35">
      <c r="A489" s="25">
        <v>4.3555343280604575</v>
      </c>
    </row>
    <row r="490" spans="1:1" x14ac:dyDescent="0.35">
      <c r="A490" s="25">
        <v>4.9688634488848038</v>
      </c>
    </row>
    <row r="491" spans="1:1" x14ac:dyDescent="0.35">
      <c r="A491" s="25">
        <v>6.8377340893493965</v>
      </c>
    </row>
    <row r="492" spans="1:1" x14ac:dyDescent="0.35">
      <c r="A492" s="25">
        <v>4.9569286046607886</v>
      </c>
    </row>
    <row r="493" spans="1:1" x14ac:dyDescent="0.35">
      <c r="A493" s="25">
        <v>7.3631582735106349</v>
      </c>
    </row>
    <row r="494" spans="1:1" x14ac:dyDescent="0.35">
      <c r="A494" s="25">
        <v>8.0543924367520958</v>
      </c>
    </row>
    <row r="495" spans="1:1" x14ac:dyDescent="0.35">
      <c r="A495" s="25">
        <v>3.996731847000774</v>
      </c>
    </row>
    <row r="496" spans="1:1" x14ac:dyDescent="0.35">
      <c r="A496" s="25">
        <v>4.7213353708502837</v>
      </c>
    </row>
    <row r="497" spans="1:1" x14ac:dyDescent="0.35">
      <c r="A497" s="25">
        <v>3.2764302330906503</v>
      </c>
    </row>
    <row r="498" spans="1:1" x14ac:dyDescent="0.35">
      <c r="A498" s="25">
        <v>3.5294516591238789</v>
      </c>
    </row>
    <row r="499" spans="1:1" x14ac:dyDescent="0.35">
      <c r="A499" s="25">
        <v>4.835113158042077</v>
      </c>
    </row>
    <row r="500" spans="1:1" x14ac:dyDescent="0.35">
      <c r="A500" s="25">
        <v>5.5422907634056173</v>
      </c>
    </row>
    <row r="501" spans="1:1" x14ac:dyDescent="0.35">
      <c r="A501" s="25">
        <v>4.9270812622853555</v>
      </c>
    </row>
    <row r="502" spans="1:1" x14ac:dyDescent="0.35">
      <c r="A502" s="25">
        <v>7.9920465749455616</v>
      </c>
    </row>
    <row r="503" spans="1:1" x14ac:dyDescent="0.35">
      <c r="A503" s="25">
        <v>7.7288751880405471</v>
      </c>
    </row>
    <row r="504" spans="1:1" x14ac:dyDescent="0.35">
      <c r="A504" s="25">
        <v>6.5923978935461491</v>
      </c>
    </row>
    <row r="505" spans="1:1" x14ac:dyDescent="0.35">
      <c r="A505" s="25">
        <v>7.1931100491201505</v>
      </c>
    </row>
    <row r="506" spans="1:1" x14ac:dyDescent="0.35">
      <c r="A506" s="25">
        <v>5.5427682481240481</v>
      </c>
    </row>
    <row r="507" spans="1:1" x14ac:dyDescent="0.35">
      <c r="A507" s="25">
        <v>6.4886518329149112</v>
      </c>
    </row>
    <row r="508" spans="1:1" x14ac:dyDescent="0.35">
      <c r="A508" s="25">
        <v>5.7764856491121463</v>
      </c>
    </row>
    <row r="509" spans="1:1" x14ac:dyDescent="0.35">
      <c r="A509" s="25">
        <v>6.1536940291989595</v>
      </c>
    </row>
    <row r="510" spans="1:1" x14ac:dyDescent="0.35">
      <c r="A510" s="25">
        <v>4.6200540408608504</v>
      </c>
    </row>
    <row r="511" spans="1:1" x14ac:dyDescent="0.35">
      <c r="A511" s="25">
        <v>0.58687704848125577</v>
      </c>
    </row>
    <row r="512" spans="1:1" x14ac:dyDescent="0.35">
      <c r="A512" s="25">
        <v>4.0970059116079938</v>
      </c>
    </row>
    <row r="513" spans="1:1" x14ac:dyDescent="0.35">
      <c r="A513" s="25">
        <v>1.2977290124399588</v>
      </c>
    </row>
    <row r="514" spans="1:1" x14ac:dyDescent="0.35">
      <c r="A514" s="25">
        <v>7.0237666831235401</v>
      </c>
    </row>
    <row r="515" spans="1:1" x14ac:dyDescent="0.35">
      <c r="A515" s="25">
        <v>5.193613232113421</v>
      </c>
    </row>
    <row r="516" spans="1:1" x14ac:dyDescent="0.35">
      <c r="A516" s="25">
        <v>6.637117748032324</v>
      </c>
    </row>
    <row r="517" spans="1:1" x14ac:dyDescent="0.35">
      <c r="A517" s="25">
        <v>4.0902233548695222</v>
      </c>
    </row>
    <row r="518" spans="1:1" x14ac:dyDescent="0.35">
      <c r="A518" s="25">
        <v>4.5633447724685539</v>
      </c>
    </row>
    <row r="519" spans="1:1" x14ac:dyDescent="0.35">
      <c r="A519" s="25">
        <v>7.4541532184230164</v>
      </c>
    </row>
    <row r="520" spans="1:1" x14ac:dyDescent="0.35">
      <c r="A520" s="25">
        <v>4.2757147992961109</v>
      </c>
    </row>
    <row r="521" spans="1:1" x14ac:dyDescent="0.35">
      <c r="A521" s="25">
        <v>4.3552114574413281</v>
      </c>
    </row>
    <row r="522" spans="1:1" x14ac:dyDescent="0.35">
      <c r="A522" s="25">
        <v>3.4745636538718827</v>
      </c>
    </row>
    <row r="523" spans="1:1" x14ac:dyDescent="0.35">
      <c r="A523" s="25">
        <v>1.0933746478985995</v>
      </c>
    </row>
    <row r="524" spans="1:1" x14ac:dyDescent="0.35">
      <c r="A524" s="25">
        <v>8.7228346627671272</v>
      </c>
    </row>
    <row r="525" spans="1:1" x14ac:dyDescent="0.35">
      <c r="A525" s="25">
        <v>4.3908886608551256</v>
      </c>
    </row>
    <row r="526" spans="1:1" x14ac:dyDescent="0.35">
      <c r="A526" s="25">
        <v>1.4437211019685492</v>
      </c>
    </row>
    <row r="527" spans="1:1" x14ac:dyDescent="0.35">
      <c r="A527" s="25">
        <v>1.4570270094554871</v>
      </c>
    </row>
    <row r="528" spans="1:1" x14ac:dyDescent="0.35">
      <c r="A528" s="25">
        <v>5.8741176316107158</v>
      </c>
    </row>
    <row r="529" spans="1:1" x14ac:dyDescent="0.35">
      <c r="A529" s="25">
        <v>6.2178998076706193</v>
      </c>
    </row>
    <row r="530" spans="1:1" x14ac:dyDescent="0.35">
      <c r="A530" s="25">
        <v>5.752290816308232</v>
      </c>
    </row>
    <row r="531" spans="1:1" x14ac:dyDescent="0.35">
      <c r="A531" s="25">
        <v>3.6106490723614115</v>
      </c>
    </row>
    <row r="532" spans="1:1" x14ac:dyDescent="0.35">
      <c r="A532" s="25">
        <v>8.8922917156014591</v>
      </c>
    </row>
    <row r="533" spans="1:1" x14ac:dyDescent="0.35">
      <c r="A533" s="25">
        <v>10.386100383475423</v>
      </c>
    </row>
    <row r="534" spans="1:1" x14ac:dyDescent="0.35">
      <c r="A534" s="25">
        <v>4.756364559289068</v>
      </c>
    </row>
    <row r="535" spans="1:1" x14ac:dyDescent="0.35">
      <c r="A535" s="25">
        <v>5.1496937329648063</v>
      </c>
    </row>
    <row r="536" spans="1:1" x14ac:dyDescent="0.35">
      <c r="A536" s="25">
        <v>4.6806445778929628</v>
      </c>
    </row>
    <row r="537" spans="1:1" x14ac:dyDescent="0.35">
      <c r="A537" s="25">
        <v>4.3616529536666349</v>
      </c>
    </row>
    <row r="538" spans="1:1" x14ac:dyDescent="0.35">
      <c r="A538" s="25">
        <v>6.9427170627750456</v>
      </c>
    </row>
    <row r="539" spans="1:1" x14ac:dyDescent="0.35">
      <c r="A539" s="25">
        <v>4.4129666447406635</v>
      </c>
    </row>
    <row r="540" spans="1:1" x14ac:dyDescent="0.35">
      <c r="A540" s="25">
        <v>3.2670942699769512</v>
      </c>
    </row>
    <row r="541" spans="1:1" x14ac:dyDescent="0.35">
      <c r="A541" s="25">
        <v>2.9482072376413271</v>
      </c>
    </row>
    <row r="542" spans="1:1" x14ac:dyDescent="0.35">
      <c r="A542" s="25">
        <v>4.1184677128330804</v>
      </c>
    </row>
    <row r="543" spans="1:1" x14ac:dyDescent="0.35">
      <c r="A543" s="25">
        <v>5.0049726622819435</v>
      </c>
    </row>
    <row r="544" spans="1:1" x14ac:dyDescent="0.35">
      <c r="A544" s="25">
        <v>6.4934994396753609</v>
      </c>
    </row>
    <row r="545" spans="1:1" x14ac:dyDescent="0.35">
      <c r="A545" s="25">
        <v>4.5982216205447912</v>
      </c>
    </row>
    <row r="546" spans="1:1" x14ac:dyDescent="0.35">
      <c r="A546" s="25">
        <v>2.8046525939134881</v>
      </c>
    </row>
    <row r="547" spans="1:1" x14ac:dyDescent="0.35">
      <c r="A547" s="25">
        <v>4.3368123796244618</v>
      </c>
    </row>
    <row r="548" spans="1:1" x14ac:dyDescent="0.35">
      <c r="A548" s="25">
        <v>8.142777131870389</v>
      </c>
    </row>
    <row r="549" spans="1:1" x14ac:dyDescent="0.35">
      <c r="A549" s="25">
        <v>5.7883772923378274</v>
      </c>
    </row>
    <row r="550" spans="1:1" x14ac:dyDescent="0.35">
      <c r="A550" s="25">
        <v>10.299370968714356</v>
      </c>
    </row>
    <row r="551" spans="1:1" x14ac:dyDescent="0.35">
      <c r="A551" s="25">
        <v>6.4499755707220174</v>
      </c>
    </row>
    <row r="552" spans="1:1" x14ac:dyDescent="0.35">
      <c r="A552" s="25">
        <v>7.3381289793178439</v>
      </c>
    </row>
    <row r="553" spans="1:1" x14ac:dyDescent="0.35">
      <c r="A553" s="25">
        <v>4.090564415382687</v>
      </c>
    </row>
    <row r="554" spans="1:1" x14ac:dyDescent="0.35">
      <c r="A554" s="25">
        <v>8.9337828638963401</v>
      </c>
    </row>
    <row r="555" spans="1:1" x14ac:dyDescent="0.35">
      <c r="A555" s="25">
        <v>5.1429452822776511</v>
      </c>
    </row>
    <row r="556" spans="1:1" x14ac:dyDescent="0.35">
      <c r="A556" s="25">
        <v>4.7120630723657086</v>
      </c>
    </row>
    <row r="557" spans="1:1" x14ac:dyDescent="0.35">
      <c r="A557" s="25">
        <v>3.3945463100099005</v>
      </c>
    </row>
    <row r="558" spans="1:1" x14ac:dyDescent="0.35">
      <c r="A558" s="25">
        <v>3.1458677211776376</v>
      </c>
    </row>
    <row r="559" spans="1:1" x14ac:dyDescent="0.35">
      <c r="A559" s="25">
        <v>5.2732576831476763</v>
      </c>
    </row>
    <row r="560" spans="1:1" x14ac:dyDescent="0.35">
      <c r="A560" s="25">
        <v>6.9468916434561834</v>
      </c>
    </row>
    <row r="561" spans="1:1" x14ac:dyDescent="0.35">
      <c r="A561" s="25">
        <v>5.211452970688697</v>
      </c>
    </row>
    <row r="562" spans="1:1" x14ac:dyDescent="0.35">
      <c r="A562" s="25">
        <v>7.7354872145224363</v>
      </c>
    </row>
    <row r="563" spans="1:1" x14ac:dyDescent="0.35">
      <c r="A563" s="25">
        <v>4.4681775206117891</v>
      </c>
    </row>
    <row r="564" spans="1:1" x14ac:dyDescent="0.35">
      <c r="A564" s="25">
        <v>4.6033716342935804</v>
      </c>
    </row>
    <row r="565" spans="1:1" x14ac:dyDescent="0.35">
      <c r="A565" s="25">
        <v>5.7837502380425576</v>
      </c>
    </row>
    <row r="566" spans="1:1" x14ac:dyDescent="0.35">
      <c r="A566" s="25">
        <v>4.3952133081620559</v>
      </c>
    </row>
    <row r="567" spans="1:1" x14ac:dyDescent="0.35">
      <c r="A567" s="25">
        <v>4.3696974343038164</v>
      </c>
    </row>
    <row r="568" spans="1:1" x14ac:dyDescent="0.35">
      <c r="A568" s="25">
        <v>-8.6237024515867233E-3</v>
      </c>
    </row>
    <row r="569" spans="1:1" x14ac:dyDescent="0.35">
      <c r="A569" s="25">
        <v>3.9043703862989787</v>
      </c>
    </row>
    <row r="570" spans="1:1" x14ac:dyDescent="0.35">
      <c r="A570" s="25">
        <v>4.2078164723352529</v>
      </c>
    </row>
    <row r="571" spans="1:1" x14ac:dyDescent="0.35">
      <c r="A571" s="25">
        <v>5.7087874109856784</v>
      </c>
    </row>
    <row r="572" spans="1:1" x14ac:dyDescent="0.35">
      <c r="A572" s="25">
        <v>4.1193135429057293</v>
      </c>
    </row>
    <row r="573" spans="1:1" x14ac:dyDescent="0.35">
      <c r="A573" s="25">
        <v>3.6529883244656958</v>
      </c>
    </row>
    <row r="574" spans="1:1" x14ac:dyDescent="0.35">
      <c r="A574" s="25">
        <v>7.5971075956476852</v>
      </c>
    </row>
    <row r="575" spans="1:1" x14ac:dyDescent="0.35">
      <c r="A575" s="25">
        <v>0.27150066569447517</v>
      </c>
    </row>
    <row r="576" spans="1:1" x14ac:dyDescent="0.35">
      <c r="A576" s="25">
        <v>2.1954457578249276</v>
      </c>
    </row>
    <row r="577" spans="1:1" x14ac:dyDescent="0.35">
      <c r="A577" s="25">
        <v>4.7619124769698828</v>
      </c>
    </row>
    <row r="578" spans="1:1" x14ac:dyDescent="0.35">
      <c r="A578" s="25">
        <v>6.7615866454434581</v>
      </c>
    </row>
    <row r="579" spans="1:1" x14ac:dyDescent="0.35">
      <c r="A579" s="25">
        <v>2.5520086081814952</v>
      </c>
    </row>
    <row r="580" spans="1:1" x14ac:dyDescent="0.35">
      <c r="A580" s="25">
        <v>3.2726558300782926</v>
      </c>
    </row>
    <row r="581" spans="1:1" x14ac:dyDescent="0.35">
      <c r="A581" s="25">
        <v>3.1787732394877821</v>
      </c>
    </row>
    <row r="582" spans="1:1" x14ac:dyDescent="0.35">
      <c r="A582" s="25">
        <v>4.7548229657695629</v>
      </c>
    </row>
    <row r="583" spans="1:1" x14ac:dyDescent="0.35">
      <c r="A583" s="25">
        <v>5.5624769983114675</v>
      </c>
    </row>
    <row r="584" spans="1:1" x14ac:dyDescent="0.35">
      <c r="A584" s="25">
        <v>6.2096211321477313</v>
      </c>
    </row>
    <row r="585" spans="1:1" x14ac:dyDescent="0.35">
      <c r="A585" s="25">
        <v>5.4120875018998049</v>
      </c>
    </row>
    <row r="586" spans="1:1" x14ac:dyDescent="0.35">
      <c r="A586" s="25">
        <v>8.0642422643722966</v>
      </c>
    </row>
    <row r="587" spans="1:1" x14ac:dyDescent="0.35">
      <c r="A587" s="25">
        <v>0.99949660478159785</v>
      </c>
    </row>
    <row r="588" spans="1:1" x14ac:dyDescent="0.35">
      <c r="A588" s="25">
        <v>2.2664591041393578</v>
      </c>
    </row>
    <row r="589" spans="1:1" x14ac:dyDescent="0.35">
      <c r="A589" s="25">
        <v>2.5156879372661933</v>
      </c>
    </row>
    <row r="590" spans="1:1" x14ac:dyDescent="0.35">
      <c r="A590" s="25">
        <v>4.5113284967374057</v>
      </c>
    </row>
    <row r="591" spans="1:1" x14ac:dyDescent="0.35">
      <c r="A591" s="25">
        <v>8.4780168789438903</v>
      </c>
    </row>
    <row r="592" spans="1:1" x14ac:dyDescent="0.35">
      <c r="A592" s="25">
        <v>7.38825123233255</v>
      </c>
    </row>
    <row r="593" spans="1:1" x14ac:dyDescent="0.35">
      <c r="A593" s="25">
        <v>1.8837619235273451</v>
      </c>
    </row>
    <row r="594" spans="1:1" x14ac:dyDescent="0.35">
      <c r="A594" s="25">
        <v>0.27150066569447517</v>
      </c>
    </row>
    <row r="595" spans="1:1" x14ac:dyDescent="0.35">
      <c r="A595" s="25">
        <v>3.6331522450200282</v>
      </c>
    </row>
    <row r="596" spans="1:1" x14ac:dyDescent="0.35">
      <c r="A596" s="25">
        <v>3.4708756528561935</v>
      </c>
    </row>
    <row r="597" spans="1:1" x14ac:dyDescent="0.35">
      <c r="A597" s="25">
        <v>7.3730262910248712</v>
      </c>
    </row>
    <row r="598" spans="1:1" x14ac:dyDescent="0.35">
      <c r="A598" s="25">
        <v>5.9623545338399708</v>
      </c>
    </row>
    <row r="599" spans="1:1" x14ac:dyDescent="0.35">
      <c r="A599" s="25">
        <v>6.7844786270870827</v>
      </c>
    </row>
    <row r="600" spans="1:1" x14ac:dyDescent="0.35">
      <c r="A600" s="25">
        <v>5.8469282875012141</v>
      </c>
    </row>
    <row r="601" spans="1:1" x14ac:dyDescent="0.35">
      <c r="A601" s="25">
        <v>4.2842049323371612</v>
      </c>
    </row>
    <row r="602" spans="1:1" x14ac:dyDescent="0.35">
      <c r="A602" s="25">
        <v>2.9782751324819401</v>
      </c>
    </row>
    <row r="603" spans="1:1" x14ac:dyDescent="0.35">
      <c r="A603" s="25">
        <v>6.2965710993739776</v>
      </c>
    </row>
    <row r="604" spans="1:1" x14ac:dyDescent="0.35">
      <c r="A604" s="25">
        <v>5.9716404747450724</v>
      </c>
    </row>
    <row r="605" spans="1:1" x14ac:dyDescent="0.35">
      <c r="A605" s="25">
        <v>4.4191921359742992</v>
      </c>
    </row>
    <row r="606" spans="1:1" x14ac:dyDescent="0.35">
      <c r="A606" s="25">
        <v>3.7839419191004708</v>
      </c>
    </row>
    <row r="607" spans="1:1" x14ac:dyDescent="0.35">
      <c r="A607" s="25">
        <v>4.5256598595005926</v>
      </c>
    </row>
    <row r="608" spans="1:1" x14ac:dyDescent="0.35">
      <c r="A608" s="25">
        <v>7.504962139937561</v>
      </c>
    </row>
    <row r="609" spans="1:1" x14ac:dyDescent="0.35">
      <c r="A609" s="25">
        <v>4.7208715285523795</v>
      </c>
    </row>
    <row r="610" spans="1:1" x14ac:dyDescent="0.35">
      <c r="A610" s="25">
        <v>3.0990378389833495</v>
      </c>
    </row>
    <row r="611" spans="1:1" x14ac:dyDescent="0.35">
      <c r="A611" s="25">
        <v>2.4456704876502044</v>
      </c>
    </row>
    <row r="612" spans="1:1" x14ac:dyDescent="0.35">
      <c r="A612" s="25">
        <v>6.5184878066065721</v>
      </c>
    </row>
    <row r="613" spans="1:1" x14ac:dyDescent="0.35">
      <c r="A613" s="25">
        <v>4.8900170794513542</v>
      </c>
    </row>
    <row r="614" spans="1:1" x14ac:dyDescent="0.35">
      <c r="A614" s="25">
        <v>4.0677679306827486</v>
      </c>
    </row>
    <row r="615" spans="1:1" x14ac:dyDescent="0.35">
      <c r="A615" s="25">
        <v>1.7341136652976274</v>
      </c>
    </row>
    <row r="616" spans="1:1" x14ac:dyDescent="0.35">
      <c r="A616" s="25">
        <v>3.8081503943249118</v>
      </c>
    </row>
    <row r="617" spans="1:1" x14ac:dyDescent="0.35">
      <c r="A617" s="25">
        <v>3.8368972481111996</v>
      </c>
    </row>
    <row r="618" spans="1:1" x14ac:dyDescent="0.35">
      <c r="A618" s="25">
        <v>8.2994194043567404</v>
      </c>
    </row>
    <row r="619" spans="1:1" x14ac:dyDescent="0.35">
      <c r="A619" s="25">
        <v>3.5360591381322592</v>
      </c>
    </row>
    <row r="620" spans="1:1" x14ac:dyDescent="0.35">
      <c r="A620" s="25">
        <v>8.9671431295573711</v>
      </c>
    </row>
    <row r="621" spans="1:1" x14ac:dyDescent="0.35">
      <c r="A621" s="25">
        <v>2.2337809595046565</v>
      </c>
    </row>
    <row r="622" spans="1:1" x14ac:dyDescent="0.35">
      <c r="A622" s="25">
        <v>7.8460544854169711</v>
      </c>
    </row>
    <row r="623" spans="1:1" x14ac:dyDescent="0.35">
      <c r="A623" s="25">
        <v>7.4134078557835892</v>
      </c>
    </row>
    <row r="624" spans="1:1" x14ac:dyDescent="0.35">
      <c r="A624" s="25">
        <v>3.0420216161292046</v>
      </c>
    </row>
    <row r="625" spans="1:1" x14ac:dyDescent="0.35">
      <c r="A625" s="25">
        <v>4.937645043246448</v>
      </c>
    </row>
    <row r="626" spans="1:1" x14ac:dyDescent="0.35">
      <c r="A626" s="25">
        <v>5.3117656888207421</v>
      </c>
    </row>
    <row r="627" spans="1:1" x14ac:dyDescent="0.35">
      <c r="A627" s="25">
        <v>2.9808217176469043</v>
      </c>
    </row>
    <row r="628" spans="1:1" x14ac:dyDescent="0.35">
      <c r="A628" s="25">
        <v>5.2851538738468662</v>
      </c>
    </row>
    <row r="629" spans="1:1" x14ac:dyDescent="0.35">
      <c r="A629" s="25">
        <v>4.4740392139647156</v>
      </c>
    </row>
    <row r="630" spans="1:1" x14ac:dyDescent="0.35">
      <c r="A630" s="25">
        <v>4.9087049218360335</v>
      </c>
    </row>
    <row r="631" spans="1:1" x14ac:dyDescent="0.35">
      <c r="A631" s="25">
        <v>6.251405592483934</v>
      </c>
    </row>
    <row r="632" spans="1:1" x14ac:dyDescent="0.35">
      <c r="A632" s="25">
        <v>9.3202453525736928</v>
      </c>
    </row>
    <row r="633" spans="1:1" x14ac:dyDescent="0.35">
      <c r="A633" s="25">
        <v>2.5077253111521713</v>
      </c>
    </row>
    <row r="634" spans="1:1" x14ac:dyDescent="0.35">
      <c r="A634" s="25">
        <v>8.0214141588658094</v>
      </c>
    </row>
    <row r="635" spans="1:1" x14ac:dyDescent="0.35">
      <c r="A635" s="25">
        <v>8.0042792786844075</v>
      </c>
    </row>
    <row r="636" spans="1:1" x14ac:dyDescent="0.35">
      <c r="A636" s="25">
        <v>6.6437570593552664</v>
      </c>
    </row>
    <row r="637" spans="1:1" x14ac:dyDescent="0.35">
      <c r="A637" s="25">
        <v>3.417038113984745</v>
      </c>
    </row>
    <row r="638" spans="1:1" x14ac:dyDescent="0.35">
      <c r="A638" s="25">
        <v>6.1603833627304994</v>
      </c>
    </row>
    <row r="639" spans="1:1" x14ac:dyDescent="0.35">
      <c r="A639" s="25">
        <v>2.3467765812529251</v>
      </c>
    </row>
    <row r="640" spans="1:1" x14ac:dyDescent="0.35">
      <c r="A640" s="25">
        <v>3.7530600265017711</v>
      </c>
    </row>
    <row r="641" spans="1:1" x14ac:dyDescent="0.35">
      <c r="A641" s="25">
        <v>4.9644251147401519</v>
      </c>
    </row>
    <row r="642" spans="1:1" x14ac:dyDescent="0.35">
      <c r="A642" s="25">
        <v>3.1378596203285269</v>
      </c>
    </row>
    <row r="643" spans="1:1" x14ac:dyDescent="0.35">
      <c r="A643" s="25">
        <v>6.1263364285696298</v>
      </c>
    </row>
    <row r="644" spans="1:1" x14ac:dyDescent="0.35">
      <c r="A644" s="25">
        <v>6.8442779037286527</v>
      </c>
    </row>
    <row r="645" spans="1:1" x14ac:dyDescent="0.35">
      <c r="A645" s="25">
        <v>4.4653217072482221</v>
      </c>
    </row>
    <row r="646" spans="1:1" x14ac:dyDescent="0.35">
      <c r="A646" s="25">
        <v>3.9601246852544136</v>
      </c>
    </row>
    <row r="647" spans="1:1" x14ac:dyDescent="0.35">
      <c r="A647" s="25">
        <v>3.6178454491891898</v>
      </c>
    </row>
    <row r="648" spans="1:1" x14ac:dyDescent="0.35">
      <c r="A648" s="25">
        <v>3.9580214787565637</v>
      </c>
    </row>
    <row r="649" spans="1:1" x14ac:dyDescent="0.35">
      <c r="A649" s="25">
        <v>4.1661070453119464</v>
      </c>
    </row>
    <row r="650" spans="1:1" x14ac:dyDescent="0.35">
      <c r="A650" s="25">
        <v>5.0669479049975052</v>
      </c>
    </row>
    <row r="651" spans="1:1" x14ac:dyDescent="0.35">
      <c r="A651" s="25">
        <v>7.702336132642813</v>
      </c>
    </row>
    <row r="652" spans="1:1" x14ac:dyDescent="0.35">
      <c r="A652" s="25">
        <v>2.4223283061292022</v>
      </c>
    </row>
    <row r="653" spans="1:1" x14ac:dyDescent="0.35">
      <c r="A653" s="25">
        <v>4.6772339727613144</v>
      </c>
    </row>
    <row r="654" spans="1:1" x14ac:dyDescent="0.35">
      <c r="A654" s="25">
        <v>2.3896865412825719</v>
      </c>
    </row>
    <row r="655" spans="1:1" x14ac:dyDescent="0.35">
      <c r="A655" s="25">
        <v>5.0066552274802234</v>
      </c>
    </row>
    <row r="656" spans="1:1" x14ac:dyDescent="0.35">
      <c r="A656" s="25">
        <v>4.6419956005411223</v>
      </c>
    </row>
    <row r="657" spans="1:1" x14ac:dyDescent="0.35">
      <c r="A657" s="25">
        <v>6.7817455955082551</v>
      </c>
    </row>
    <row r="658" spans="1:1" x14ac:dyDescent="0.35">
      <c r="A658" s="25">
        <v>7.1637606550939381</v>
      </c>
    </row>
    <row r="659" spans="1:1" x14ac:dyDescent="0.35">
      <c r="A659" s="25">
        <v>5.0533259481017012</v>
      </c>
    </row>
    <row r="660" spans="1:1" x14ac:dyDescent="0.35">
      <c r="A660" s="25">
        <v>5.0542445377504919</v>
      </c>
    </row>
    <row r="661" spans="1:1" x14ac:dyDescent="0.35">
      <c r="A661" s="25">
        <v>3.2132430886849761</v>
      </c>
    </row>
    <row r="662" spans="1:1" x14ac:dyDescent="0.35">
      <c r="A662" s="25">
        <v>1.664855643757619</v>
      </c>
    </row>
    <row r="663" spans="1:1" x14ac:dyDescent="0.35">
      <c r="A663" s="25">
        <v>5.3049535735044628</v>
      </c>
    </row>
    <row r="664" spans="1:1" x14ac:dyDescent="0.35">
      <c r="A664" s="25">
        <v>8.2635671232128516</v>
      </c>
    </row>
    <row r="665" spans="1:1" x14ac:dyDescent="0.35">
      <c r="A665" s="25">
        <v>6.9740991774597205</v>
      </c>
    </row>
    <row r="666" spans="1:1" x14ac:dyDescent="0.35">
      <c r="A666" s="25">
        <v>0.17618562094867229</v>
      </c>
    </row>
    <row r="667" spans="1:1" x14ac:dyDescent="0.35">
      <c r="A667" s="25">
        <v>4.9237115844152868</v>
      </c>
    </row>
    <row r="668" spans="1:1" x14ac:dyDescent="0.35">
      <c r="A668" s="25">
        <v>2.3367812344804406</v>
      </c>
    </row>
    <row r="669" spans="1:1" x14ac:dyDescent="0.35">
      <c r="A669" s="25">
        <v>5.89520881374483</v>
      </c>
    </row>
    <row r="670" spans="1:1" x14ac:dyDescent="0.35">
      <c r="A670" s="25">
        <v>5.9644168130762409</v>
      </c>
    </row>
    <row r="671" spans="1:1" x14ac:dyDescent="0.35">
      <c r="A671" s="25">
        <v>10.811743903905153</v>
      </c>
    </row>
    <row r="672" spans="1:1" x14ac:dyDescent="0.35">
      <c r="A672" s="25">
        <v>5.785566953709349</v>
      </c>
    </row>
    <row r="673" spans="1:1" x14ac:dyDescent="0.35">
      <c r="A673" s="25">
        <v>4.8799012246308848</v>
      </c>
    </row>
    <row r="674" spans="1:1" x14ac:dyDescent="0.35">
      <c r="A674" s="25">
        <v>4.7040208654652815</v>
      </c>
    </row>
    <row r="675" spans="1:1" x14ac:dyDescent="0.35">
      <c r="A675" s="25">
        <v>4.2383391145267524</v>
      </c>
    </row>
    <row r="676" spans="1:1" x14ac:dyDescent="0.35">
      <c r="A676" s="25">
        <v>4.3364872352685779</v>
      </c>
    </row>
    <row r="677" spans="1:1" x14ac:dyDescent="0.35">
      <c r="A677" s="25">
        <v>1.9377313391305506</v>
      </c>
    </row>
    <row r="678" spans="1:1" x14ac:dyDescent="0.35">
      <c r="A678" s="25">
        <v>3.637979388149688</v>
      </c>
    </row>
    <row r="679" spans="1:1" x14ac:dyDescent="0.35">
      <c r="A679" s="25">
        <v>7.350288923480548</v>
      </c>
    </row>
    <row r="680" spans="1:1" x14ac:dyDescent="0.35">
      <c r="A680" s="25">
        <v>9.5107663027010858</v>
      </c>
    </row>
    <row r="681" spans="1:1" x14ac:dyDescent="0.35">
      <c r="A681" s="25">
        <v>4.7682266439369414</v>
      </c>
    </row>
    <row r="682" spans="1:1" x14ac:dyDescent="0.35">
      <c r="A682" s="25">
        <v>6.5472187442355789</v>
      </c>
    </row>
    <row r="683" spans="1:1" x14ac:dyDescent="0.35">
      <c r="A683" s="25">
        <v>7.0541210687952116</v>
      </c>
    </row>
    <row r="684" spans="1:1" x14ac:dyDescent="0.35">
      <c r="A684" s="25">
        <v>4.1968843460199423</v>
      </c>
    </row>
    <row r="685" spans="1:1" x14ac:dyDescent="0.35">
      <c r="A685" s="25">
        <v>6.3005364962737076</v>
      </c>
    </row>
    <row r="686" spans="1:1" x14ac:dyDescent="0.35">
      <c r="A686" s="25">
        <v>4.7041754795645829</v>
      </c>
    </row>
    <row r="687" spans="1:1" x14ac:dyDescent="0.35">
      <c r="A687" s="25">
        <v>5.0043610270950012</v>
      </c>
    </row>
    <row r="688" spans="1:1" x14ac:dyDescent="0.35">
      <c r="A688" s="25">
        <v>6.9868411982315592</v>
      </c>
    </row>
    <row r="689" spans="1:1" x14ac:dyDescent="0.35">
      <c r="A689" s="25">
        <v>6.7280081010540016</v>
      </c>
    </row>
    <row r="690" spans="1:1" x14ac:dyDescent="0.35">
      <c r="A690" s="25">
        <v>7.0546394807752222</v>
      </c>
    </row>
    <row r="691" spans="1:1" x14ac:dyDescent="0.35">
      <c r="A691" s="25">
        <v>6.2212149158585817</v>
      </c>
    </row>
    <row r="692" spans="1:1" x14ac:dyDescent="0.35">
      <c r="A692" s="25">
        <v>2.1505758367129602</v>
      </c>
    </row>
    <row r="693" spans="1:1" x14ac:dyDescent="0.35">
      <c r="A693" s="25">
        <v>5.1188709575217217</v>
      </c>
    </row>
    <row r="694" spans="1:1" x14ac:dyDescent="0.35">
      <c r="A694" s="25">
        <v>6.7894944903673604</v>
      </c>
    </row>
    <row r="695" spans="1:1" x14ac:dyDescent="0.35">
      <c r="A695" s="25">
        <v>3.6335387802682817</v>
      </c>
    </row>
    <row r="696" spans="1:1" x14ac:dyDescent="0.35">
      <c r="A696" s="25">
        <v>8.1623858376406133</v>
      </c>
    </row>
    <row r="697" spans="1:1" x14ac:dyDescent="0.35">
      <c r="A697" s="25">
        <v>5.7427752279909328</v>
      </c>
    </row>
    <row r="698" spans="1:1" x14ac:dyDescent="0.35">
      <c r="A698" s="25">
        <v>4.2770221979299095</v>
      </c>
    </row>
    <row r="699" spans="1:1" x14ac:dyDescent="0.35">
      <c r="A699" s="25">
        <v>6.035150489769876</v>
      </c>
    </row>
    <row r="700" spans="1:1" x14ac:dyDescent="0.35">
      <c r="A700" s="25">
        <v>7.8338945412542671</v>
      </c>
    </row>
    <row r="701" spans="1:1" x14ac:dyDescent="0.35">
      <c r="A701" s="25">
        <v>9.0720260585658252</v>
      </c>
    </row>
    <row r="702" spans="1:1" x14ac:dyDescent="0.35">
      <c r="A702" s="25">
        <v>6.4495799405267462</v>
      </c>
    </row>
    <row r="703" spans="1:1" x14ac:dyDescent="0.35">
      <c r="A703" s="25">
        <v>5.4338357939559501</v>
      </c>
    </row>
    <row r="704" spans="1:1" x14ac:dyDescent="0.35">
      <c r="A704" s="25">
        <v>7.7726036933017895</v>
      </c>
    </row>
    <row r="705" spans="1:1" x14ac:dyDescent="0.35">
      <c r="A705" s="25">
        <v>1.7729581840103492</v>
      </c>
    </row>
    <row r="706" spans="1:1" x14ac:dyDescent="0.35">
      <c r="A706" s="25">
        <v>3.5771501087583601</v>
      </c>
    </row>
    <row r="707" spans="1:1" x14ac:dyDescent="0.35">
      <c r="A707" s="25">
        <v>4.7518921190930996</v>
      </c>
    </row>
    <row r="708" spans="1:1" x14ac:dyDescent="0.35">
      <c r="A708" s="25">
        <v>4.3178698787232861</v>
      </c>
    </row>
    <row r="709" spans="1:1" x14ac:dyDescent="0.35">
      <c r="A709" s="25">
        <v>7.5214740162482485</v>
      </c>
    </row>
    <row r="710" spans="1:1" x14ac:dyDescent="0.35">
      <c r="A710" s="25">
        <v>3.0891607265220955</v>
      </c>
    </row>
    <row r="711" spans="1:1" x14ac:dyDescent="0.35">
      <c r="A711" s="25">
        <v>3.1461041898000985</v>
      </c>
    </row>
    <row r="712" spans="1:1" x14ac:dyDescent="0.35">
      <c r="A712" s="25">
        <v>7.8918566385982558</v>
      </c>
    </row>
    <row r="713" spans="1:1" x14ac:dyDescent="0.35">
      <c r="A713" s="25">
        <v>2.5113769323797897</v>
      </c>
    </row>
    <row r="714" spans="1:1" x14ac:dyDescent="0.35">
      <c r="A714" s="25">
        <v>5.3143986759823747</v>
      </c>
    </row>
    <row r="715" spans="1:1" x14ac:dyDescent="0.35">
      <c r="A715" s="25">
        <v>7.1440882846945897</v>
      </c>
    </row>
    <row r="716" spans="1:1" x14ac:dyDescent="0.35">
      <c r="A716" s="25">
        <v>5.0464387994725257</v>
      </c>
    </row>
    <row r="717" spans="1:1" x14ac:dyDescent="0.35">
      <c r="A717" s="25">
        <v>7.1689902496291324</v>
      </c>
    </row>
    <row r="718" spans="1:1" x14ac:dyDescent="0.35">
      <c r="A718" s="25">
        <v>5.6772688720957376</v>
      </c>
    </row>
    <row r="719" spans="1:1" x14ac:dyDescent="0.35">
      <c r="A719" s="25">
        <v>2.5745049596298486</v>
      </c>
    </row>
    <row r="720" spans="1:1" x14ac:dyDescent="0.35">
      <c r="A720" s="25">
        <v>8.5667380871018395</v>
      </c>
    </row>
    <row r="721" spans="1:1" x14ac:dyDescent="0.35">
      <c r="A721" s="25">
        <v>0.69692590739578009</v>
      </c>
    </row>
    <row r="722" spans="1:1" x14ac:dyDescent="0.35">
      <c r="A722" s="25">
        <v>2.6928029354894534</v>
      </c>
    </row>
    <row r="723" spans="1:1" x14ac:dyDescent="0.35">
      <c r="A723" s="25">
        <v>3.7293722369940951</v>
      </c>
    </row>
    <row r="724" spans="1:1" x14ac:dyDescent="0.35">
      <c r="A724" s="25">
        <v>2.963427631475497</v>
      </c>
    </row>
    <row r="725" spans="1:1" x14ac:dyDescent="0.35">
      <c r="A725" s="25">
        <v>8.5925404517911375</v>
      </c>
    </row>
    <row r="726" spans="1:1" x14ac:dyDescent="0.35">
      <c r="A726" s="25">
        <v>4.3381061358377337</v>
      </c>
    </row>
    <row r="727" spans="1:1" x14ac:dyDescent="0.35">
      <c r="A727" s="25">
        <v>3.8330910127842799</v>
      </c>
    </row>
    <row r="728" spans="1:1" x14ac:dyDescent="0.35">
      <c r="A728" s="25">
        <v>6.4198940334608778</v>
      </c>
    </row>
    <row r="729" spans="1:1" x14ac:dyDescent="0.35">
      <c r="A729" s="25">
        <v>4.4757808963186108</v>
      </c>
    </row>
    <row r="730" spans="1:1" x14ac:dyDescent="0.35">
      <c r="A730" s="25">
        <v>5.6441450750571676</v>
      </c>
    </row>
    <row r="731" spans="1:1" x14ac:dyDescent="0.35">
      <c r="A731" s="25">
        <v>7.6232783056912012</v>
      </c>
    </row>
    <row r="732" spans="1:1" x14ac:dyDescent="0.35">
      <c r="A732" s="25">
        <v>5.1773264557414223</v>
      </c>
    </row>
    <row r="733" spans="1:1" x14ac:dyDescent="0.35">
      <c r="A733" s="25">
        <v>5.6777531780244317</v>
      </c>
    </row>
    <row r="734" spans="1:1" x14ac:dyDescent="0.35">
      <c r="A734" s="25">
        <v>6.1240035746595822</v>
      </c>
    </row>
    <row r="735" spans="1:1" x14ac:dyDescent="0.35">
      <c r="A735" s="25">
        <v>7.063479769276455</v>
      </c>
    </row>
    <row r="736" spans="1:1" x14ac:dyDescent="0.35">
      <c r="A736" s="25">
        <v>4.1171216606744565</v>
      </c>
    </row>
    <row r="737" spans="1:1" x14ac:dyDescent="0.35">
      <c r="A737" s="25">
        <v>5.8548022378818132</v>
      </c>
    </row>
    <row r="738" spans="1:1" x14ac:dyDescent="0.35">
      <c r="A738" s="25">
        <v>4.9783494786242954</v>
      </c>
    </row>
    <row r="739" spans="1:1" x14ac:dyDescent="0.35">
      <c r="A739" s="25">
        <v>4.8811290424782783</v>
      </c>
    </row>
    <row r="740" spans="1:1" x14ac:dyDescent="0.35">
      <c r="A740" s="25">
        <v>5.8417441677011084</v>
      </c>
    </row>
    <row r="741" spans="1:1" x14ac:dyDescent="0.35">
      <c r="A741" s="25">
        <v>5.4517096385825425</v>
      </c>
    </row>
    <row r="742" spans="1:1" x14ac:dyDescent="0.35">
      <c r="A742" s="25">
        <v>3.5428507898177486</v>
      </c>
    </row>
    <row r="743" spans="1:1" x14ac:dyDescent="0.35">
      <c r="A743" s="25">
        <v>7.4200744519475847</v>
      </c>
    </row>
    <row r="744" spans="1:1" x14ac:dyDescent="0.35">
      <c r="A744" s="25">
        <v>2.561690179281868</v>
      </c>
    </row>
    <row r="745" spans="1:1" x14ac:dyDescent="0.35">
      <c r="A745" s="25">
        <v>5.2911838237196207</v>
      </c>
    </row>
    <row r="746" spans="1:1" x14ac:dyDescent="0.35">
      <c r="A746" s="25">
        <v>4.1009008226683363</v>
      </c>
    </row>
    <row r="747" spans="1:1" x14ac:dyDescent="0.35">
      <c r="A747" s="25">
        <v>6.623679963813629</v>
      </c>
    </row>
    <row r="748" spans="1:1" x14ac:dyDescent="0.35">
      <c r="A748" s="25">
        <v>3.9385196386137977</v>
      </c>
    </row>
    <row r="749" spans="1:1" x14ac:dyDescent="0.35">
      <c r="A749" s="25">
        <v>7.9799230105709285</v>
      </c>
    </row>
    <row r="750" spans="1:1" x14ac:dyDescent="0.35">
      <c r="A750" s="25">
        <v>5.0016052581486292</v>
      </c>
    </row>
    <row r="751" spans="1:1" x14ac:dyDescent="0.35">
      <c r="A751" s="25">
        <v>2.3857347868033685</v>
      </c>
    </row>
    <row r="752" spans="1:1" x14ac:dyDescent="0.35">
      <c r="A752" s="25">
        <v>6.4832085071248002</v>
      </c>
    </row>
    <row r="753" spans="1:1" x14ac:dyDescent="0.35">
      <c r="A753" s="25">
        <v>6.5001796782598831</v>
      </c>
    </row>
    <row r="754" spans="1:1" x14ac:dyDescent="0.35">
      <c r="A754" s="25">
        <v>8.2130628824234009</v>
      </c>
    </row>
    <row r="755" spans="1:1" x14ac:dyDescent="0.35">
      <c r="A755" s="25">
        <v>5.4674188858189154</v>
      </c>
    </row>
    <row r="756" spans="1:1" x14ac:dyDescent="0.35">
      <c r="A756" s="25">
        <v>5.2371643859078176</v>
      </c>
    </row>
    <row r="757" spans="1:1" x14ac:dyDescent="0.35">
      <c r="A757" s="25">
        <v>4.1821005096426234</v>
      </c>
    </row>
    <row r="758" spans="1:1" x14ac:dyDescent="0.35">
      <c r="A758" s="25">
        <v>4.7967006493126974</v>
      </c>
    </row>
    <row r="759" spans="1:1" x14ac:dyDescent="0.35">
      <c r="A759" s="25">
        <v>5.9080804375116713</v>
      </c>
    </row>
    <row r="760" spans="1:1" x14ac:dyDescent="0.35">
      <c r="A760" s="25">
        <v>5.5183619578019716</v>
      </c>
    </row>
    <row r="761" spans="1:1" x14ac:dyDescent="0.35">
      <c r="A761" s="25">
        <v>6.3187354852561839</v>
      </c>
    </row>
    <row r="762" spans="1:1" x14ac:dyDescent="0.35">
      <c r="A762" s="25">
        <v>2.4963793647475541</v>
      </c>
    </row>
    <row r="763" spans="1:1" x14ac:dyDescent="0.35">
      <c r="A763" s="25">
        <v>4.8595103534171358</v>
      </c>
    </row>
    <row r="764" spans="1:1" x14ac:dyDescent="0.35">
      <c r="A764" s="25">
        <v>2.3029844113625586</v>
      </c>
    </row>
    <row r="765" spans="1:1" x14ac:dyDescent="0.35">
      <c r="A765" s="25">
        <v>4.5645976014202461</v>
      </c>
    </row>
    <row r="766" spans="1:1" x14ac:dyDescent="0.35">
      <c r="A766" s="25">
        <v>4.6744440977636259</v>
      </c>
    </row>
    <row r="767" spans="1:1" x14ac:dyDescent="0.35">
      <c r="A767" s="25">
        <v>4.0188780429889448</v>
      </c>
    </row>
    <row r="768" spans="1:1" x14ac:dyDescent="0.35">
      <c r="A768" s="25">
        <v>5.3308286977699026</v>
      </c>
    </row>
    <row r="769" spans="1:1" x14ac:dyDescent="0.35">
      <c r="A769" s="25">
        <v>5.1722582965157926</v>
      </c>
    </row>
    <row r="770" spans="1:1" x14ac:dyDescent="0.35">
      <c r="A770" s="25">
        <v>6.6629223864583764</v>
      </c>
    </row>
    <row r="771" spans="1:1" x14ac:dyDescent="0.35">
      <c r="A771" s="25">
        <v>7.8927206585649401</v>
      </c>
    </row>
    <row r="772" spans="1:1" x14ac:dyDescent="0.35">
      <c r="A772" s="25">
        <v>0.79113136860541999</v>
      </c>
    </row>
    <row r="773" spans="1:1" x14ac:dyDescent="0.35">
      <c r="A773" s="25">
        <v>2.6291383063653484</v>
      </c>
    </row>
    <row r="774" spans="1:1" x14ac:dyDescent="0.35">
      <c r="A774" s="25">
        <v>6.4173383533488959</v>
      </c>
    </row>
    <row r="775" spans="1:1" x14ac:dyDescent="0.35">
      <c r="A775" s="25">
        <v>3.9056141203036532</v>
      </c>
    </row>
    <row r="776" spans="1:1" x14ac:dyDescent="0.35">
      <c r="A776" s="25">
        <v>8.2343723432859406</v>
      </c>
    </row>
    <row r="777" spans="1:1" x14ac:dyDescent="0.35">
      <c r="A777" s="25">
        <v>7.0692186808446422</v>
      </c>
    </row>
    <row r="778" spans="1:1" x14ac:dyDescent="0.35">
      <c r="A778" s="25">
        <v>3.2872714099357836</v>
      </c>
    </row>
    <row r="779" spans="1:1" x14ac:dyDescent="0.35">
      <c r="A779" s="25">
        <v>5.1414105099684093</v>
      </c>
    </row>
    <row r="780" spans="1:1" x14ac:dyDescent="0.35">
      <c r="A780" s="25">
        <v>4.0607693689526059</v>
      </c>
    </row>
    <row r="781" spans="1:1" x14ac:dyDescent="0.35">
      <c r="A781" s="25">
        <v>4.3693768374214415</v>
      </c>
    </row>
    <row r="782" spans="1:1" x14ac:dyDescent="0.35">
      <c r="A782" s="25">
        <v>1.2675974529702216</v>
      </c>
    </row>
    <row r="783" spans="1:1" x14ac:dyDescent="0.35">
      <c r="A783" s="25">
        <v>6.2871441867901012</v>
      </c>
    </row>
    <row r="784" spans="1:1" x14ac:dyDescent="0.35">
      <c r="A784" s="25">
        <v>5.7342578101088293</v>
      </c>
    </row>
    <row r="785" spans="1:1" x14ac:dyDescent="0.35">
      <c r="A785" s="25">
        <v>3.2570534484693781</v>
      </c>
    </row>
    <row r="786" spans="1:1" x14ac:dyDescent="0.35">
      <c r="A786" s="25">
        <v>3.4884425430209376</v>
      </c>
    </row>
    <row r="787" spans="1:1" x14ac:dyDescent="0.35">
      <c r="A787" s="25">
        <v>3.5324575391132385</v>
      </c>
    </row>
    <row r="788" spans="1:1" x14ac:dyDescent="0.35">
      <c r="A788" s="25">
        <v>8.6795972846448421</v>
      </c>
    </row>
    <row r="789" spans="1:1" x14ac:dyDescent="0.35">
      <c r="A789" s="25">
        <v>6.4957277016947046</v>
      </c>
    </row>
    <row r="790" spans="1:1" x14ac:dyDescent="0.35">
      <c r="A790" s="25">
        <v>9.2272586142644286</v>
      </c>
    </row>
    <row r="791" spans="1:1" x14ac:dyDescent="0.35">
      <c r="A791" s="25">
        <v>9.1610655898693949</v>
      </c>
    </row>
    <row r="792" spans="1:1" x14ac:dyDescent="0.35">
      <c r="A792" s="25">
        <v>2.0800126902759075</v>
      </c>
    </row>
    <row r="793" spans="1:1" x14ac:dyDescent="0.35">
      <c r="A793" s="25">
        <v>2.6832532411208376</v>
      </c>
    </row>
    <row r="794" spans="1:1" x14ac:dyDescent="0.35">
      <c r="A794" s="25">
        <v>6.332841748080682</v>
      </c>
    </row>
    <row r="795" spans="1:1" x14ac:dyDescent="0.35">
      <c r="A795" s="25">
        <v>6.6392596080549993</v>
      </c>
    </row>
    <row r="796" spans="1:1" x14ac:dyDescent="0.35">
      <c r="A796" s="25">
        <v>5.7427752279909328</v>
      </c>
    </row>
    <row r="797" spans="1:1" x14ac:dyDescent="0.35">
      <c r="A797" s="25">
        <v>4.4126483215950429</v>
      </c>
    </row>
    <row r="798" spans="1:1" x14ac:dyDescent="0.35">
      <c r="A798" s="25">
        <v>10.629262886941433</v>
      </c>
    </row>
    <row r="799" spans="1:1" x14ac:dyDescent="0.35">
      <c r="A799" s="25">
        <v>1.2597212288528681</v>
      </c>
    </row>
    <row r="800" spans="1:1" x14ac:dyDescent="0.35">
      <c r="A800" s="25">
        <v>6.095806965167867</v>
      </c>
    </row>
    <row r="801" spans="1:1" x14ac:dyDescent="0.35">
      <c r="A801" s="25">
        <v>5.8419101504841819</v>
      </c>
    </row>
    <row r="802" spans="1:1" x14ac:dyDescent="0.35">
      <c r="A802" s="25">
        <v>4.4062545738415793</v>
      </c>
    </row>
    <row r="803" spans="1:1" x14ac:dyDescent="0.35">
      <c r="A803" s="25">
        <v>4.1100321494741365</v>
      </c>
    </row>
    <row r="804" spans="1:1" x14ac:dyDescent="0.35">
      <c r="A804" s="25">
        <v>2.3749117998522706</v>
      </c>
    </row>
    <row r="805" spans="1:1" x14ac:dyDescent="0.35">
      <c r="A805" s="25">
        <v>6.2813188732252456</v>
      </c>
    </row>
    <row r="806" spans="1:1" x14ac:dyDescent="0.35">
      <c r="A806" s="25">
        <v>3.5304521032958291</v>
      </c>
    </row>
    <row r="807" spans="1:1" x14ac:dyDescent="0.35">
      <c r="A807" s="25">
        <v>3.3626685207127593</v>
      </c>
    </row>
    <row r="808" spans="1:1" x14ac:dyDescent="0.35">
      <c r="A808" s="25">
        <v>3.5985505190910771</v>
      </c>
    </row>
    <row r="809" spans="1:1" x14ac:dyDescent="0.35">
      <c r="A809" s="25">
        <v>6.7213528735737782</v>
      </c>
    </row>
    <row r="810" spans="1:1" x14ac:dyDescent="0.35">
      <c r="A810" s="25">
        <v>8.2922798709478229</v>
      </c>
    </row>
    <row r="811" spans="1:1" x14ac:dyDescent="0.35">
      <c r="A811" s="25">
        <v>9.0830127545632422</v>
      </c>
    </row>
    <row r="812" spans="1:1" x14ac:dyDescent="0.35">
      <c r="A812" s="25">
        <v>2.3143349052406847</v>
      </c>
    </row>
    <row r="813" spans="1:1" x14ac:dyDescent="0.35">
      <c r="A813" s="25">
        <v>7.5231656763935462</v>
      </c>
    </row>
    <row r="814" spans="1:1" x14ac:dyDescent="0.35">
      <c r="A814" s="25">
        <v>4.3228948369505815</v>
      </c>
    </row>
    <row r="815" spans="1:1" x14ac:dyDescent="0.35">
      <c r="A815" s="25">
        <v>7.2306221580947749</v>
      </c>
    </row>
    <row r="816" spans="1:1" x14ac:dyDescent="0.35">
      <c r="A816" s="25">
        <v>4.3113806340261362</v>
      </c>
    </row>
    <row r="817" spans="1:1" x14ac:dyDescent="0.35">
      <c r="A817" s="25">
        <v>3.0481879902072251</v>
      </c>
    </row>
    <row r="818" spans="1:1" x14ac:dyDescent="0.35">
      <c r="A818" s="25">
        <v>5.1500006874266546</v>
      </c>
    </row>
    <row r="819" spans="1:1" x14ac:dyDescent="0.35">
      <c r="A819" s="25">
        <v>6.1913016351172701</v>
      </c>
    </row>
    <row r="820" spans="1:1" x14ac:dyDescent="0.35">
      <c r="A820" s="25">
        <v>1.2771653372328728</v>
      </c>
    </row>
    <row r="821" spans="1:1" x14ac:dyDescent="0.35">
      <c r="A821" s="25">
        <v>5.8017900654522236</v>
      </c>
    </row>
    <row r="822" spans="1:1" x14ac:dyDescent="0.35">
      <c r="A822" s="25">
        <v>10.45856892131269</v>
      </c>
    </row>
    <row r="823" spans="1:1" x14ac:dyDescent="0.35">
      <c r="A823" s="25">
        <v>3.8200079314992763</v>
      </c>
    </row>
    <row r="824" spans="1:1" x14ac:dyDescent="0.35">
      <c r="A824" s="25">
        <v>3.1907831170246936</v>
      </c>
    </row>
    <row r="825" spans="1:1" x14ac:dyDescent="0.35">
      <c r="A825" s="25">
        <v>6.3196859072195366</v>
      </c>
    </row>
    <row r="826" spans="1:1" x14ac:dyDescent="0.35">
      <c r="A826" s="25">
        <v>3.0129086907254532</v>
      </c>
    </row>
    <row r="827" spans="1:1" x14ac:dyDescent="0.35">
      <c r="A827" s="25">
        <v>3.9371099218260497</v>
      </c>
    </row>
    <row r="828" spans="1:1" x14ac:dyDescent="0.35">
      <c r="A828" s="25">
        <v>3.1110249791527167</v>
      </c>
    </row>
    <row r="829" spans="1:1" x14ac:dyDescent="0.35">
      <c r="A829" s="25">
        <v>7.4280507204821333</v>
      </c>
    </row>
    <row r="830" spans="1:1" x14ac:dyDescent="0.35">
      <c r="A830" s="25">
        <v>5.6139225661172532</v>
      </c>
    </row>
    <row r="831" spans="1:1" x14ac:dyDescent="0.35">
      <c r="A831" s="25">
        <v>5.4686762622441165</v>
      </c>
    </row>
    <row r="832" spans="1:1" x14ac:dyDescent="0.35">
      <c r="A832" s="25">
        <v>3.6209513735957444</v>
      </c>
    </row>
    <row r="833" spans="1:1" x14ac:dyDescent="0.35">
      <c r="A833" s="25">
        <v>6.9582239474402741</v>
      </c>
    </row>
    <row r="834" spans="1:1" x14ac:dyDescent="0.35">
      <c r="A834" s="25">
        <v>2.9341737343929708</v>
      </c>
    </row>
    <row r="835" spans="1:1" x14ac:dyDescent="0.35">
      <c r="A835" s="25">
        <v>3.6049942890531383</v>
      </c>
    </row>
    <row r="836" spans="1:1" x14ac:dyDescent="0.35">
      <c r="A836" s="25">
        <v>4.8223665897967294</v>
      </c>
    </row>
    <row r="837" spans="1:1" x14ac:dyDescent="0.35">
      <c r="A837" s="25">
        <v>9.7513094614259899</v>
      </c>
    </row>
    <row r="838" spans="1:1" x14ac:dyDescent="0.35">
      <c r="A838" s="25">
        <v>3.8325475896999706</v>
      </c>
    </row>
    <row r="839" spans="1:1" x14ac:dyDescent="0.35">
      <c r="A839" s="25">
        <v>8.9190672396216542</v>
      </c>
    </row>
    <row r="840" spans="1:1" x14ac:dyDescent="0.35">
      <c r="A840" s="25">
        <v>3.390530890901573</v>
      </c>
    </row>
    <row r="841" spans="1:1" x14ac:dyDescent="0.35">
      <c r="A841" s="25">
        <v>1.232108969707042</v>
      </c>
    </row>
    <row r="842" spans="1:1" x14ac:dyDescent="0.35">
      <c r="A842" s="25">
        <v>1.0788409225642681</v>
      </c>
    </row>
    <row r="843" spans="1:1" x14ac:dyDescent="0.35">
      <c r="A843" s="25">
        <v>2.2911655277130194</v>
      </c>
    </row>
    <row r="844" spans="1:1" x14ac:dyDescent="0.35">
      <c r="A844" s="25">
        <v>1.2649781082291156</v>
      </c>
    </row>
    <row r="845" spans="1:1" x14ac:dyDescent="0.35">
      <c r="A845" s="25">
        <v>4.8800558387301862</v>
      </c>
    </row>
    <row r="846" spans="1:1" x14ac:dyDescent="0.35">
      <c r="A846" s="25">
        <v>6.7471984392614104</v>
      </c>
    </row>
    <row r="847" spans="1:1" x14ac:dyDescent="0.35">
      <c r="A847" s="25">
        <v>6.9161598174832761</v>
      </c>
    </row>
    <row r="848" spans="1:1" x14ac:dyDescent="0.35">
      <c r="A848" s="25">
        <v>2.7348488755524158</v>
      </c>
    </row>
    <row r="849" spans="1:1" x14ac:dyDescent="0.35">
      <c r="A849" s="25">
        <v>4.3199776326946449</v>
      </c>
    </row>
    <row r="850" spans="1:1" x14ac:dyDescent="0.35">
      <c r="A850" s="25">
        <v>2.2652858559740707</v>
      </c>
    </row>
    <row r="851" spans="1:1" x14ac:dyDescent="0.35">
      <c r="A851" s="25">
        <v>5.7491735232179053</v>
      </c>
    </row>
    <row r="852" spans="1:1" x14ac:dyDescent="0.35">
      <c r="A852" s="25">
        <v>3.7359160513733514</v>
      </c>
    </row>
    <row r="853" spans="1:1" x14ac:dyDescent="0.35">
      <c r="A853" s="25">
        <v>5.8761389835854061</v>
      </c>
    </row>
    <row r="854" spans="1:1" x14ac:dyDescent="0.35">
      <c r="A854" s="25">
        <v>6.1358497431501746</v>
      </c>
    </row>
    <row r="855" spans="1:1" x14ac:dyDescent="0.35">
      <c r="A855" s="25">
        <v>3.1286373440525495</v>
      </c>
    </row>
    <row r="856" spans="1:1" x14ac:dyDescent="0.35">
      <c r="A856" s="25">
        <v>4.2427797224081587</v>
      </c>
    </row>
    <row r="857" spans="1:1" x14ac:dyDescent="0.35">
      <c r="A857" s="25">
        <v>5.5397532731876709</v>
      </c>
    </row>
    <row r="858" spans="1:1" x14ac:dyDescent="0.35">
      <c r="A858" s="25">
        <v>5.5464198693516664</v>
      </c>
    </row>
    <row r="859" spans="1:1" x14ac:dyDescent="0.35">
      <c r="A859" s="25">
        <v>4.7061877365922555</v>
      </c>
    </row>
    <row r="860" spans="1:1" x14ac:dyDescent="0.35">
      <c r="A860" s="25">
        <v>5.2359320205869153</v>
      </c>
    </row>
    <row r="861" spans="1:1" x14ac:dyDescent="0.35">
      <c r="A861" s="25">
        <v>5.2387059794273227</v>
      </c>
    </row>
    <row r="862" spans="1:1" x14ac:dyDescent="0.35">
      <c r="A862" s="25">
        <v>5.9441873771720566</v>
      </c>
    </row>
    <row r="863" spans="1:1" x14ac:dyDescent="0.35">
      <c r="A863" s="25">
        <v>2.6092476572375745</v>
      </c>
    </row>
    <row r="864" spans="1:1" x14ac:dyDescent="0.35">
      <c r="A864" s="25">
        <v>2.0764520185184665</v>
      </c>
    </row>
    <row r="865" spans="1:1" x14ac:dyDescent="0.35">
      <c r="A865" s="25">
        <v>5.6076697900425643</v>
      </c>
    </row>
    <row r="866" spans="1:1" x14ac:dyDescent="0.35">
      <c r="A866" s="25">
        <v>5.7858989192754962</v>
      </c>
    </row>
    <row r="867" spans="1:1" x14ac:dyDescent="0.35">
      <c r="A867" s="25">
        <v>3.7181195137964096</v>
      </c>
    </row>
    <row r="868" spans="1:1" x14ac:dyDescent="0.35">
      <c r="A868" s="25">
        <v>5.5291303750709631</v>
      </c>
    </row>
    <row r="869" spans="1:1" x14ac:dyDescent="0.35">
      <c r="A869" s="25">
        <v>6.0135181582882069</v>
      </c>
    </row>
    <row r="870" spans="1:1" x14ac:dyDescent="0.35">
      <c r="A870" s="25">
        <v>6.0337498679291457</v>
      </c>
    </row>
    <row r="871" spans="1:1" x14ac:dyDescent="0.35">
      <c r="A871" s="25">
        <v>4.8680982571386266</v>
      </c>
    </row>
    <row r="872" spans="1:1" x14ac:dyDescent="0.35">
      <c r="A872" s="25">
        <v>4.8728503669553902</v>
      </c>
    </row>
    <row r="873" spans="1:1" x14ac:dyDescent="0.35">
      <c r="A873" s="25">
        <v>7.6699126465246081</v>
      </c>
    </row>
    <row r="874" spans="1:1" x14ac:dyDescent="0.35">
      <c r="A874" s="25">
        <v>5.0628142515779473</v>
      </c>
    </row>
    <row r="875" spans="1:1" x14ac:dyDescent="0.35">
      <c r="A875" s="25">
        <v>6.8875425666919909</v>
      </c>
    </row>
    <row r="876" spans="1:1" x14ac:dyDescent="0.35">
      <c r="A876" s="25">
        <v>4.8570547177223489</v>
      </c>
    </row>
    <row r="877" spans="1:1" x14ac:dyDescent="0.35">
      <c r="A877" s="25">
        <v>4.3894448380160611</v>
      </c>
    </row>
    <row r="878" spans="1:1" x14ac:dyDescent="0.35">
      <c r="A878" s="25">
        <v>6.7582078726263717</v>
      </c>
    </row>
    <row r="879" spans="1:1" x14ac:dyDescent="0.35">
      <c r="A879" s="25">
        <v>5.0713885128789116</v>
      </c>
    </row>
    <row r="880" spans="1:1" x14ac:dyDescent="0.35">
      <c r="A880" s="25">
        <v>5.1573653207742609</v>
      </c>
    </row>
    <row r="881" spans="1:1" x14ac:dyDescent="0.35">
      <c r="A881" s="25">
        <v>3.6827833708957769</v>
      </c>
    </row>
    <row r="882" spans="1:1" x14ac:dyDescent="0.35">
      <c r="A882" s="25">
        <v>6.5018031263025478</v>
      </c>
    </row>
    <row r="883" spans="1:1" x14ac:dyDescent="0.35">
      <c r="A883" s="25">
        <v>5.5243782652541995</v>
      </c>
    </row>
    <row r="884" spans="1:1" x14ac:dyDescent="0.35">
      <c r="A884" s="25">
        <v>2.3669264363707043</v>
      </c>
    </row>
    <row r="885" spans="1:1" x14ac:dyDescent="0.35">
      <c r="A885" s="25">
        <v>6.5020077626104467</v>
      </c>
    </row>
    <row r="886" spans="1:1" x14ac:dyDescent="0.35">
      <c r="A886" s="25">
        <v>5.0326667759509291</v>
      </c>
    </row>
    <row r="887" spans="1:1" x14ac:dyDescent="0.35">
      <c r="A887" s="25">
        <v>6.7892671166919172</v>
      </c>
    </row>
    <row r="888" spans="1:1" x14ac:dyDescent="0.35">
      <c r="A888" s="25">
        <v>4.5221969584235922</v>
      </c>
    </row>
    <row r="889" spans="1:1" x14ac:dyDescent="0.35">
      <c r="A889" s="25">
        <v>4.9154442775761709</v>
      </c>
    </row>
    <row r="890" spans="1:1" x14ac:dyDescent="0.35">
      <c r="A890" s="25">
        <v>0.3388760332018137</v>
      </c>
    </row>
    <row r="891" spans="1:1" x14ac:dyDescent="0.35">
      <c r="A891" s="25">
        <v>6.1383690434740856</v>
      </c>
    </row>
    <row r="892" spans="1:1" x14ac:dyDescent="0.35">
      <c r="A892" s="25">
        <v>5.2502656570868567</v>
      </c>
    </row>
    <row r="893" spans="1:1" x14ac:dyDescent="0.35">
      <c r="A893" s="25">
        <v>3.7721412253449671</v>
      </c>
    </row>
    <row r="894" spans="1:1" x14ac:dyDescent="0.35">
      <c r="A894" s="25">
        <v>6.1301017366349697</v>
      </c>
    </row>
    <row r="895" spans="1:1" x14ac:dyDescent="0.35">
      <c r="A895" s="25">
        <v>3.6537568474886939</v>
      </c>
    </row>
    <row r="896" spans="1:1" x14ac:dyDescent="0.35">
      <c r="A896" s="25">
        <v>4.9451438270625658</v>
      </c>
    </row>
    <row r="897" spans="1:1" x14ac:dyDescent="0.35">
      <c r="A897" s="25">
        <v>4.2801258485997096</v>
      </c>
    </row>
    <row r="898" spans="1:1" x14ac:dyDescent="0.35">
      <c r="A898" s="25">
        <v>2.4184584061731584</v>
      </c>
    </row>
    <row r="899" spans="1:1" x14ac:dyDescent="0.35">
      <c r="A899" s="25">
        <v>-0.21235051564872265</v>
      </c>
    </row>
    <row r="900" spans="1:1" x14ac:dyDescent="0.35">
      <c r="A900" s="25">
        <v>7.5275812731706537</v>
      </c>
    </row>
    <row r="901" spans="1:1" x14ac:dyDescent="0.35">
      <c r="A901" s="25">
        <v>8.2474508770974353</v>
      </c>
    </row>
    <row r="902" spans="1:1" x14ac:dyDescent="0.35">
      <c r="A902" s="25">
        <v>4.655979081580881</v>
      </c>
    </row>
    <row r="903" spans="1:1" x14ac:dyDescent="0.35">
      <c r="A903" s="25">
        <v>2.5494210957549512</v>
      </c>
    </row>
    <row r="904" spans="1:1" x14ac:dyDescent="0.35">
      <c r="A904" s="25">
        <v>1.9208238326245919</v>
      </c>
    </row>
    <row r="905" spans="1:1" x14ac:dyDescent="0.35">
      <c r="A905" s="25">
        <v>5.5602487362921238</v>
      </c>
    </row>
    <row r="906" spans="1:1" x14ac:dyDescent="0.35">
      <c r="A906" s="25">
        <v>3.0196662363596261</v>
      </c>
    </row>
    <row r="907" spans="1:1" x14ac:dyDescent="0.35">
      <c r="A907" s="25">
        <v>3.3385896484833211</v>
      </c>
    </row>
    <row r="908" spans="1:1" x14ac:dyDescent="0.35">
      <c r="A908" s="25">
        <v>5.7493372322642244</v>
      </c>
    </row>
    <row r="909" spans="1:1" x14ac:dyDescent="0.35">
      <c r="A909" s="25">
        <v>2.9657377480180003</v>
      </c>
    </row>
    <row r="910" spans="1:1" x14ac:dyDescent="0.35">
      <c r="A910" s="25">
        <v>9.2696046875789762</v>
      </c>
    </row>
    <row r="911" spans="1:1" x14ac:dyDescent="0.35">
      <c r="A911" s="25">
        <v>4.134458903427003</v>
      </c>
    </row>
    <row r="912" spans="1:1" x14ac:dyDescent="0.35">
      <c r="A912" s="25">
        <v>5.3903892320522573</v>
      </c>
    </row>
    <row r="913" spans="1:1" x14ac:dyDescent="0.35">
      <c r="A913" s="25">
        <v>1.9971395330503583</v>
      </c>
    </row>
    <row r="914" spans="1:1" x14ac:dyDescent="0.35">
      <c r="A914" s="25">
        <v>2.7550760377198458</v>
      </c>
    </row>
    <row r="915" spans="1:1" x14ac:dyDescent="0.35">
      <c r="A915" s="25">
        <v>3.5514159561716951</v>
      </c>
    </row>
    <row r="916" spans="1:1" x14ac:dyDescent="0.35">
      <c r="A916" s="25">
        <v>7.1476262190844864</v>
      </c>
    </row>
    <row r="917" spans="1:1" x14ac:dyDescent="0.35">
      <c r="A917" s="25">
        <v>3.3886254995013587</v>
      </c>
    </row>
    <row r="918" spans="1:1" x14ac:dyDescent="0.35">
      <c r="A918" s="25">
        <v>7.5306462703156285</v>
      </c>
    </row>
    <row r="919" spans="1:1" x14ac:dyDescent="0.35">
      <c r="A919" s="25">
        <v>7.2527001419803128</v>
      </c>
    </row>
    <row r="920" spans="1:1" x14ac:dyDescent="0.35">
      <c r="A920" s="25">
        <v>5.3671812009997666</v>
      </c>
    </row>
    <row r="921" spans="1:1" x14ac:dyDescent="0.35">
      <c r="A921" s="25">
        <v>8.0047522159293294</v>
      </c>
    </row>
    <row r="922" spans="1:1" x14ac:dyDescent="0.35">
      <c r="A922" s="25">
        <v>8.1671970646129921</v>
      </c>
    </row>
    <row r="923" spans="1:1" x14ac:dyDescent="0.35">
      <c r="A923" s="25">
        <v>5.7151425052143168</v>
      </c>
    </row>
    <row r="924" spans="1:1" x14ac:dyDescent="0.35">
      <c r="A924" s="25">
        <v>7.2406220523407683</v>
      </c>
    </row>
    <row r="925" spans="1:1" x14ac:dyDescent="0.35">
      <c r="A925" s="25">
        <v>3.5922841005958617</v>
      </c>
    </row>
    <row r="926" spans="1:1" x14ac:dyDescent="0.35">
      <c r="A926" s="25">
        <v>4.5321081769361626</v>
      </c>
    </row>
    <row r="927" spans="1:1" x14ac:dyDescent="0.35">
      <c r="A927" s="25">
        <v>3.1453993314062245</v>
      </c>
    </row>
    <row r="928" spans="1:1" x14ac:dyDescent="0.35">
      <c r="A928" s="25">
        <v>3.345278982014861</v>
      </c>
    </row>
    <row r="929" spans="1:1" x14ac:dyDescent="0.35">
      <c r="A929" s="25">
        <v>3.2043300406076014</v>
      </c>
    </row>
    <row r="930" spans="1:1" x14ac:dyDescent="0.35">
      <c r="A930" s="25">
        <v>4.2460652720183134</v>
      </c>
    </row>
    <row r="931" spans="1:1" x14ac:dyDescent="0.35">
      <c r="A931" s="25">
        <v>2.725235516554676</v>
      </c>
    </row>
    <row r="932" spans="1:1" x14ac:dyDescent="0.35">
      <c r="A932" s="25">
        <v>5.6715981726301834</v>
      </c>
    </row>
    <row r="933" spans="1:1" x14ac:dyDescent="0.35">
      <c r="A933" s="25">
        <v>2.7948482410283759</v>
      </c>
    </row>
    <row r="934" spans="1:1" x14ac:dyDescent="0.35">
      <c r="A934" s="25">
        <v>5.4372827788756695</v>
      </c>
    </row>
    <row r="935" spans="1:1" x14ac:dyDescent="0.35">
      <c r="A935" s="25">
        <v>6.8560103853815235</v>
      </c>
    </row>
    <row r="936" spans="1:1" x14ac:dyDescent="0.35">
      <c r="A936" s="25">
        <v>4.5236134964216035</v>
      </c>
    </row>
    <row r="937" spans="1:1" x14ac:dyDescent="0.35">
      <c r="A937" s="25">
        <v>2.2165551298530772</v>
      </c>
    </row>
    <row r="938" spans="1:1" x14ac:dyDescent="0.35">
      <c r="A938" s="25">
        <v>4.3631035977159627</v>
      </c>
    </row>
    <row r="939" spans="1:1" x14ac:dyDescent="0.35">
      <c r="A939" s="25">
        <v>3.6598913892521523</v>
      </c>
    </row>
    <row r="940" spans="1:1" x14ac:dyDescent="0.35">
      <c r="A940" s="25">
        <v>6.0220537660643458</v>
      </c>
    </row>
    <row r="941" spans="1:1" x14ac:dyDescent="0.35">
      <c r="A941" s="25">
        <v>5.6472055247286335</v>
      </c>
    </row>
    <row r="942" spans="1:1" x14ac:dyDescent="0.35">
      <c r="A942" s="25">
        <v>2.3954118104302324</v>
      </c>
    </row>
    <row r="943" spans="1:1" x14ac:dyDescent="0.35">
      <c r="A943" s="25">
        <v>3.5398562785121612</v>
      </c>
    </row>
    <row r="944" spans="1:1" x14ac:dyDescent="0.35">
      <c r="A944" s="25">
        <v>5.9196287464874331</v>
      </c>
    </row>
    <row r="945" spans="1:1" x14ac:dyDescent="0.35">
      <c r="A945" s="25">
        <v>6.8333048501517624</v>
      </c>
    </row>
    <row r="946" spans="1:1" x14ac:dyDescent="0.35">
      <c r="A946" s="25">
        <v>4.234555616567377</v>
      </c>
    </row>
    <row r="947" spans="1:1" x14ac:dyDescent="0.35">
      <c r="A947" s="25">
        <v>3.3754673849034589</v>
      </c>
    </row>
    <row r="948" spans="1:1" x14ac:dyDescent="0.35">
      <c r="A948" s="25">
        <v>6.6809326552902348</v>
      </c>
    </row>
    <row r="949" spans="1:1" x14ac:dyDescent="0.35">
      <c r="A949" s="25">
        <v>5.0084901330410503</v>
      </c>
    </row>
    <row r="950" spans="1:1" x14ac:dyDescent="0.35">
      <c r="A950" s="25">
        <v>5.345883108820999</v>
      </c>
    </row>
    <row r="951" spans="1:1" x14ac:dyDescent="0.35">
      <c r="A951" s="25">
        <v>5.2288470568601042</v>
      </c>
    </row>
    <row r="952" spans="1:1" x14ac:dyDescent="0.35">
      <c r="A952" s="25">
        <v>4.9557030605501495</v>
      </c>
    </row>
    <row r="953" spans="1:1" x14ac:dyDescent="0.35">
      <c r="A953" s="25">
        <v>3.9311163517413661</v>
      </c>
    </row>
    <row r="954" spans="1:1" x14ac:dyDescent="0.35">
      <c r="A954" s="25">
        <v>5.7205289875855669</v>
      </c>
    </row>
    <row r="955" spans="1:1" x14ac:dyDescent="0.35">
      <c r="A955" s="25">
        <v>6.4545548765454441</v>
      </c>
    </row>
    <row r="956" spans="1:1" x14ac:dyDescent="0.35">
      <c r="A956" s="25">
        <v>2.4099864630261436</v>
      </c>
    </row>
    <row r="957" spans="1:1" x14ac:dyDescent="0.35">
      <c r="A957" s="25">
        <v>7.9365219234023243</v>
      </c>
    </row>
    <row r="958" spans="1:1" x14ac:dyDescent="0.35">
      <c r="A958" s="25">
        <v>5.5489619070431218</v>
      </c>
    </row>
    <row r="959" spans="1:1" x14ac:dyDescent="0.35">
      <c r="A959" s="25">
        <v>5.5457832230604254</v>
      </c>
    </row>
    <row r="960" spans="1:1" x14ac:dyDescent="0.35">
      <c r="A960" s="25">
        <v>4.122010194696486</v>
      </c>
    </row>
    <row r="961" spans="1:1" x14ac:dyDescent="0.35">
      <c r="A961" s="25">
        <v>-0.24501956533640623</v>
      </c>
    </row>
    <row r="962" spans="1:1" x14ac:dyDescent="0.35">
      <c r="A962" s="25">
        <v>8.0872070055920631</v>
      </c>
    </row>
    <row r="963" spans="1:1" x14ac:dyDescent="0.35">
      <c r="A963" s="25">
        <v>4.0360993251670152</v>
      </c>
    </row>
    <row r="964" spans="1:1" x14ac:dyDescent="0.35">
      <c r="A964" s="25">
        <v>-0.34142600372433662</v>
      </c>
    </row>
    <row r="965" spans="1:1" x14ac:dyDescent="0.35">
      <c r="A965" s="25">
        <v>7.7996520657325163</v>
      </c>
    </row>
    <row r="966" spans="1:1" x14ac:dyDescent="0.35">
      <c r="A966" s="25">
        <v>4.6057113094138913</v>
      </c>
    </row>
    <row r="967" spans="1:1" x14ac:dyDescent="0.35">
      <c r="A967" s="25">
        <v>2.2265959513606504</v>
      </c>
    </row>
    <row r="968" spans="1:1" x14ac:dyDescent="0.35">
      <c r="A968" s="25">
        <v>4.2121183822746389</v>
      </c>
    </row>
    <row r="969" spans="1:1" x14ac:dyDescent="0.35">
      <c r="A969" s="25">
        <v>1.7847179505042732</v>
      </c>
    </row>
    <row r="970" spans="1:1" x14ac:dyDescent="0.35">
      <c r="A970" s="25">
        <v>3.4245596351684071</v>
      </c>
    </row>
    <row r="971" spans="1:1" x14ac:dyDescent="0.35">
      <c r="A971" s="25">
        <v>1.4974449540022761</v>
      </c>
    </row>
    <row r="972" spans="1:1" x14ac:dyDescent="0.35">
      <c r="A972" s="25">
        <v>5.860839008964831</v>
      </c>
    </row>
    <row r="973" spans="1:1" x14ac:dyDescent="0.35">
      <c r="A973" s="25">
        <v>7.6301677280571312</v>
      </c>
    </row>
    <row r="974" spans="1:1" x14ac:dyDescent="0.35">
      <c r="A974" s="25">
        <v>2.0901899359887466</v>
      </c>
    </row>
    <row r="975" spans="1:1" x14ac:dyDescent="0.35">
      <c r="A975" s="25">
        <v>6.004309524432756</v>
      </c>
    </row>
    <row r="976" spans="1:1" x14ac:dyDescent="0.35">
      <c r="A976" s="25">
        <v>5.7567268767161295</v>
      </c>
    </row>
    <row r="977" spans="1:1" x14ac:dyDescent="0.35">
      <c r="A977" s="25">
        <v>4.0436526786652394</v>
      </c>
    </row>
    <row r="978" spans="1:1" x14ac:dyDescent="0.35">
      <c r="A978" s="25">
        <v>3.8574927556328475</v>
      </c>
    </row>
    <row r="979" spans="1:1" x14ac:dyDescent="0.35">
      <c r="A979" s="25">
        <v>3.4923078955034725</v>
      </c>
    </row>
    <row r="980" spans="1:1" x14ac:dyDescent="0.35">
      <c r="A980" s="25">
        <v>1.9890814099926502</v>
      </c>
    </row>
    <row r="981" spans="1:1" x14ac:dyDescent="0.35">
      <c r="A981" s="25">
        <v>4.758983904030174</v>
      </c>
    </row>
    <row r="982" spans="1:1" x14ac:dyDescent="0.35">
      <c r="A982" s="25">
        <v>4.2791458680585492</v>
      </c>
    </row>
    <row r="983" spans="1:1" x14ac:dyDescent="0.35">
      <c r="A983" s="25">
        <v>5.3872719389619306</v>
      </c>
    </row>
    <row r="984" spans="1:1" x14ac:dyDescent="0.35">
      <c r="A984" s="25">
        <v>3.3437692208099179</v>
      </c>
    </row>
    <row r="985" spans="1:1" x14ac:dyDescent="0.35">
      <c r="A985" s="25">
        <v>6.0067424227599986</v>
      </c>
    </row>
    <row r="986" spans="1:1" x14ac:dyDescent="0.35">
      <c r="A986" s="25">
        <v>9.7160574467852712</v>
      </c>
    </row>
    <row r="987" spans="1:1" x14ac:dyDescent="0.35">
      <c r="A987" s="25">
        <v>5.9298446457250975</v>
      </c>
    </row>
    <row r="988" spans="1:1" x14ac:dyDescent="0.35">
      <c r="A988" s="25">
        <v>6.2680084182647988</v>
      </c>
    </row>
    <row r="989" spans="1:1" x14ac:dyDescent="0.35">
      <c r="A989" s="25">
        <v>2.2357682054280303</v>
      </c>
    </row>
    <row r="990" spans="1:1" x14ac:dyDescent="0.35">
      <c r="A990" s="25">
        <v>4.0535889082821086</v>
      </c>
    </row>
    <row r="991" spans="1:1" x14ac:dyDescent="0.35">
      <c r="A991" s="25">
        <v>6.5833802535780706</v>
      </c>
    </row>
    <row r="992" spans="1:1" x14ac:dyDescent="0.35">
      <c r="A992" s="25">
        <v>4.4295603755745105</v>
      </c>
    </row>
    <row r="993" spans="1:1" x14ac:dyDescent="0.35">
      <c r="A993" s="25">
        <v>5.0467434801976196</v>
      </c>
    </row>
    <row r="994" spans="1:1" x14ac:dyDescent="0.35">
      <c r="A994" s="25">
        <v>1.3228947308380157</v>
      </c>
    </row>
    <row r="995" spans="1:1" x14ac:dyDescent="0.35">
      <c r="A995" s="25">
        <v>3.8482932167244144</v>
      </c>
    </row>
    <row r="996" spans="1:1" x14ac:dyDescent="0.35">
      <c r="A996" s="25">
        <v>2.6051822159206495</v>
      </c>
    </row>
    <row r="997" spans="1:1" x14ac:dyDescent="0.35">
      <c r="A997" s="25">
        <v>3.6168722898582928</v>
      </c>
    </row>
    <row r="998" spans="1:1" x14ac:dyDescent="0.35">
      <c r="A998" s="25">
        <v>4.2503353496431373</v>
      </c>
    </row>
    <row r="999" spans="1:1" x14ac:dyDescent="0.35">
      <c r="A999" s="25">
        <v>7.4528526409994811</v>
      </c>
    </row>
    <row r="1000" spans="1:1" x14ac:dyDescent="0.35">
      <c r="A1000" s="25">
        <v>2.7570860210107639</v>
      </c>
    </row>
    <row r="1001" spans="1:1" x14ac:dyDescent="0.35">
      <c r="A1001" s="25">
        <v>1.4295056997798383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8D0ED-C6A6-4C8C-B7C2-9080ABE2A4D1}">
  <dimension ref="A1:C22"/>
  <sheetViews>
    <sheetView workbookViewId="0">
      <selection activeCell="D6" sqref="D6"/>
    </sheetView>
  </sheetViews>
  <sheetFormatPr defaultColWidth="31.44140625" defaultRowHeight="18" x14ac:dyDescent="0.35"/>
  <cols>
    <col min="1" max="1" width="11.88671875" style="26" customWidth="1"/>
    <col min="2" max="2" width="119.44140625" style="26" customWidth="1"/>
    <col min="3" max="3" width="41.88671875" style="26" customWidth="1"/>
    <col min="4" max="16384" width="31.44140625" style="26"/>
  </cols>
  <sheetData>
    <row r="1" spans="1:3" ht="18.600000000000001" thickBot="1" x14ac:dyDescent="0.4"/>
    <row r="2" spans="1:3" x14ac:dyDescent="0.35">
      <c r="A2" s="26" t="s">
        <v>68</v>
      </c>
      <c r="B2" s="36" t="s">
        <v>62</v>
      </c>
      <c r="C2" s="46" t="s">
        <v>77</v>
      </c>
    </row>
    <row r="3" spans="1:3" x14ac:dyDescent="0.35">
      <c r="B3" s="34">
        <v>34</v>
      </c>
      <c r="C3" s="47"/>
    </row>
    <row r="4" spans="1:3" x14ac:dyDescent="0.35">
      <c r="B4" s="34">
        <v>15</v>
      </c>
      <c r="C4" s="48" t="s">
        <v>53</v>
      </c>
    </row>
    <row r="5" spans="1:3" x14ac:dyDescent="0.35">
      <c r="B5" s="34">
        <v>4</v>
      </c>
      <c r="C5" s="48" t="s">
        <v>58</v>
      </c>
    </row>
    <row r="6" spans="1:3" x14ac:dyDescent="0.35">
      <c r="B6" s="34">
        <v>71</v>
      </c>
    </row>
    <row r="7" spans="1:3" x14ac:dyDescent="0.35">
      <c r="B7" s="34">
        <v>37</v>
      </c>
    </row>
    <row r="8" spans="1:3" x14ac:dyDescent="0.35">
      <c r="B8" s="34">
        <v>19</v>
      </c>
    </row>
    <row r="9" spans="1:3" x14ac:dyDescent="0.35">
      <c r="B9" s="34">
        <v>25</v>
      </c>
    </row>
    <row r="10" spans="1:3" x14ac:dyDescent="0.35">
      <c r="B10" s="34">
        <v>52</v>
      </c>
      <c r="C10" s="37" t="s">
        <v>72</v>
      </c>
    </row>
    <row r="11" spans="1:3" ht="18" customHeight="1" x14ac:dyDescent="0.35">
      <c r="B11" s="34">
        <v>52</v>
      </c>
      <c r="C11" s="37" t="s">
        <v>73</v>
      </c>
    </row>
    <row r="12" spans="1:3" x14ac:dyDescent="0.35">
      <c r="B12" s="34">
        <v>27</v>
      </c>
    </row>
    <row r="13" spans="1:3" x14ac:dyDescent="0.35">
      <c r="B13" s="34">
        <v>33</v>
      </c>
    </row>
    <row r="14" spans="1:3" ht="18.600000000000001" thickBot="1" x14ac:dyDescent="0.4">
      <c r="B14" s="35">
        <v>33</v>
      </c>
    </row>
    <row r="15" spans="1:3" ht="18.600000000000001" thickBot="1" x14ac:dyDescent="0.4"/>
    <row r="16" spans="1:3" ht="21" x14ac:dyDescent="0.4">
      <c r="B16" s="41" t="s">
        <v>0</v>
      </c>
      <c r="C16" s="38">
        <f>AVERAGE(B3:B14)</f>
        <v>33.5</v>
      </c>
    </row>
    <row r="17" spans="2:3" ht="21" x14ac:dyDescent="0.4">
      <c r="B17" s="42" t="s">
        <v>70</v>
      </c>
      <c r="C17" s="39">
        <f>_xlfn.STDEV.S(B3:B14)</f>
        <v>18.193405398660254</v>
      </c>
    </row>
    <row r="18" spans="2:3" ht="21" x14ac:dyDescent="0.4">
      <c r="B18" s="42" t="s">
        <v>1</v>
      </c>
      <c r="C18" s="39">
        <f>_xlfn.STDEV.S(B3:B14)/SQRT(COUNT(B3:B14))</f>
        <v>5.251983752196244</v>
      </c>
    </row>
    <row r="19" spans="2:3" ht="21" x14ac:dyDescent="0.4">
      <c r="B19" s="43" t="s">
        <v>71</v>
      </c>
      <c r="C19" s="39">
        <f>C16/C18</f>
        <v>6.3785422005525367</v>
      </c>
    </row>
    <row r="20" spans="2:3" ht="21" x14ac:dyDescent="0.4">
      <c r="B20" s="42" t="s">
        <v>74</v>
      </c>
      <c r="C20" s="39">
        <f>COUNT(B3:B14)-1</f>
        <v>11</v>
      </c>
    </row>
    <row r="21" spans="2:3" ht="21.6" thickBot="1" x14ac:dyDescent="0.45">
      <c r="B21" s="44" t="s">
        <v>75</v>
      </c>
      <c r="C21" s="40">
        <f>_xlfn.T.INV.2T(0.05,COUNT(B3:B14)-1)</f>
        <v>2.2009851600916384</v>
      </c>
    </row>
    <row r="22" spans="2:3" ht="21" x14ac:dyDescent="0.4">
      <c r="B22" s="45" t="s">
        <v>76</v>
      </c>
      <c r="C22" s="3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19A0-1488-4FF1-86FF-9ED158120269}">
  <dimension ref="B1:P26"/>
  <sheetViews>
    <sheetView workbookViewId="0">
      <selection activeCell="C10" sqref="C10"/>
    </sheetView>
  </sheetViews>
  <sheetFormatPr defaultRowHeight="18" x14ac:dyDescent="0.35"/>
  <cols>
    <col min="1" max="1" width="8.88671875" style="26"/>
    <col min="2" max="2" width="19.88671875" style="26" customWidth="1"/>
    <col min="3" max="3" width="13.21875" style="26" customWidth="1"/>
    <col min="4" max="4" width="20.5546875" style="26" customWidth="1"/>
    <col min="5" max="5" width="18.44140625" style="26" customWidth="1"/>
    <col min="6" max="6" width="14.77734375" style="26" customWidth="1"/>
    <col min="7" max="7" width="17.21875" style="26" customWidth="1"/>
    <col min="8" max="8" width="24.77734375" style="26" customWidth="1"/>
    <col min="9" max="9" width="24" style="26" customWidth="1"/>
    <col min="10" max="10" width="110.109375" style="26" customWidth="1"/>
    <col min="11" max="16384" width="8.88671875" style="26"/>
  </cols>
  <sheetData>
    <row r="1" spans="2:16" ht="18.600000000000001" thickBot="1" x14ac:dyDescent="0.4"/>
    <row r="2" spans="2:16" ht="22.95" customHeight="1" x14ac:dyDescent="0.35">
      <c r="B2" s="50" t="s">
        <v>88</v>
      </c>
      <c r="C2" s="51" t="s">
        <v>89</v>
      </c>
      <c r="D2" s="51" t="s">
        <v>90</v>
      </c>
      <c r="E2" s="51" t="s">
        <v>91</v>
      </c>
      <c r="F2" s="52" t="s">
        <v>65</v>
      </c>
      <c r="G2" s="51" t="s">
        <v>92</v>
      </c>
      <c r="H2" s="51" t="s">
        <v>93</v>
      </c>
      <c r="I2" s="53" t="s">
        <v>94</v>
      </c>
      <c r="J2" s="66" t="s">
        <v>53</v>
      </c>
    </row>
    <row r="3" spans="2:16" ht="22.95" customHeight="1" x14ac:dyDescent="0.35">
      <c r="B3" s="54" t="s">
        <v>78</v>
      </c>
      <c r="C3" s="33" t="str">
        <f>RIGHT(B3,1)</f>
        <v>7</v>
      </c>
      <c r="D3" s="33" t="str">
        <f>MID(B3,LEN(B3)-1,1)</f>
        <v>4</v>
      </c>
      <c r="E3" s="33">
        <v>0</v>
      </c>
      <c r="F3" s="49">
        <v>0</v>
      </c>
      <c r="G3" s="33">
        <f>COUNTIF(E3:E26,F3)</f>
        <v>6</v>
      </c>
      <c r="H3" s="33">
        <f>24/10</f>
        <v>2.4</v>
      </c>
      <c r="I3" s="55">
        <f>((G3-H3)^2)/H3</f>
        <v>5.4</v>
      </c>
      <c r="J3" s="66" t="s">
        <v>58</v>
      </c>
    </row>
    <row r="4" spans="2:16" ht="22.95" customHeight="1" thickBot="1" x14ac:dyDescent="0.4">
      <c r="B4" s="54" t="s">
        <v>79</v>
      </c>
      <c r="C4" s="33" t="str">
        <f t="shared" ref="C4:C14" si="0">RIGHT(B4,1)</f>
        <v>5</v>
      </c>
      <c r="D4" s="33" t="str">
        <f t="shared" ref="D4:D14" si="1">MID(B4,LEN(B4)-1,1)</f>
        <v>7</v>
      </c>
      <c r="E4" s="33">
        <v>1</v>
      </c>
      <c r="F4" s="49">
        <v>1</v>
      </c>
      <c r="G4" s="33">
        <f t="shared" ref="G4:G14" si="2">COUNTIF(E3:E27,F4)</f>
        <v>2</v>
      </c>
      <c r="H4" s="33">
        <f t="shared" ref="H4:H14" si="3">24/10</f>
        <v>2.4</v>
      </c>
      <c r="I4" s="55">
        <f t="shared" ref="I4:I14" si="4">((G4-H4)^2)/H4</f>
        <v>6.6666666666666638E-2</v>
      </c>
    </row>
    <row r="5" spans="2:16" ht="22.95" customHeight="1" x14ac:dyDescent="0.35">
      <c r="B5" s="54" t="s">
        <v>80</v>
      </c>
      <c r="C5" s="33" t="str">
        <f t="shared" si="0"/>
        <v>5</v>
      </c>
      <c r="D5" s="33" t="str">
        <f t="shared" si="1"/>
        <v>8</v>
      </c>
      <c r="E5" s="33">
        <v>9</v>
      </c>
      <c r="F5" s="49">
        <v>2</v>
      </c>
      <c r="G5" s="33">
        <f t="shared" si="2"/>
        <v>1</v>
      </c>
      <c r="H5" s="33">
        <f t="shared" si="3"/>
        <v>2.4</v>
      </c>
      <c r="I5" s="59">
        <f t="shared" si="4"/>
        <v>0.81666666666666654</v>
      </c>
      <c r="J5" s="60" t="s">
        <v>98</v>
      </c>
      <c r="K5" s="67"/>
      <c r="O5" s="25"/>
      <c r="P5" s="25"/>
    </row>
    <row r="6" spans="2:16" ht="22.95" customHeight="1" x14ac:dyDescent="0.35">
      <c r="B6" s="54" t="s">
        <v>81</v>
      </c>
      <c r="C6" s="33" t="str">
        <f t="shared" si="0"/>
        <v>8</v>
      </c>
      <c r="D6" s="33" t="str">
        <f t="shared" si="1"/>
        <v>1</v>
      </c>
      <c r="E6" s="33">
        <v>8</v>
      </c>
      <c r="F6" s="49">
        <v>3</v>
      </c>
      <c r="G6" s="33">
        <f t="shared" si="2"/>
        <v>1</v>
      </c>
      <c r="H6" s="33">
        <f t="shared" si="3"/>
        <v>2.4</v>
      </c>
      <c r="I6" s="59">
        <f t="shared" si="4"/>
        <v>0.81666666666666654</v>
      </c>
      <c r="J6" s="61" t="s">
        <v>102</v>
      </c>
      <c r="K6" s="65">
        <f>_xlfn.CHISQ.INV.RT(0.05, 11)</f>
        <v>19.675137572682498</v>
      </c>
      <c r="O6" s="25"/>
      <c r="P6" s="25"/>
    </row>
    <row r="7" spans="2:16" ht="22.95" customHeight="1" x14ac:dyDescent="0.35">
      <c r="B7" s="54" t="s">
        <v>82</v>
      </c>
      <c r="C7" s="33" t="str">
        <f t="shared" si="0"/>
        <v>9</v>
      </c>
      <c r="D7" s="33" t="str">
        <f t="shared" si="1"/>
        <v>9</v>
      </c>
      <c r="E7" s="33">
        <v>5</v>
      </c>
      <c r="F7" s="49">
        <v>4</v>
      </c>
      <c r="G7" s="33">
        <f t="shared" si="2"/>
        <v>1</v>
      </c>
      <c r="H7" s="33">
        <f t="shared" si="3"/>
        <v>2.4</v>
      </c>
      <c r="I7" s="59">
        <f t="shared" si="4"/>
        <v>0.81666666666666654</v>
      </c>
      <c r="J7" s="62" t="s">
        <v>100</v>
      </c>
      <c r="K7" s="68"/>
      <c r="L7" s="25"/>
      <c r="M7" s="25"/>
      <c r="N7" s="25"/>
      <c r="O7" s="25"/>
      <c r="P7" s="25"/>
    </row>
    <row r="8" spans="2:16" ht="22.95" customHeight="1" x14ac:dyDescent="0.35">
      <c r="B8" s="54" t="s">
        <v>83</v>
      </c>
      <c r="C8" s="33" t="str">
        <f t="shared" si="0"/>
        <v>4</v>
      </c>
      <c r="D8" s="33" t="str">
        <f t="shared" si="1"/>
        <v>8</v>
      </c>
      <c r="E8" s="33">
        <v>5</v>
      </c>
      <c r="F8" s="49">
        <v>5</v>
      </c>
      <c r="G8" s="33">
        <f t="shared" si="2"/>
        <v>3</v>
      </c>
      <c r="H8" s="33">
        <f t="shared" si="3"/>
        <v>2.4</v>
      </c>
      <c r="I8" s="59">
        <f t="shared" si="4"/>
        <v>0.15000000000000005</v>
      </c>
      <c r="J8" s="62" t="s">
        <v>101</v>
      </c>
      <c r="K8" s="68"/>
      <c r="L8" s="25"/>
      <c r="M8" s="25"/>
      <c r="N8" s="25"/>
      <c r="O8" s="25"/>
      <c r="P8" s="25"/>
    </row>
    <row r="9" spans="2:16" ht="22.95" customHeight="1" x14ac:dyDescent="0.35">
      <c r="B9" s="54" t="s">
        <v>84</v>
      </c>
      <c r="C9" s="33" t="str">
        <f t="shared" si="0"/>
        <v>9</v>
      </c>
      <c r="D9" s="33" t="str">
        <f t="shared" si="1"/>
        <v>5</v>
      </c>
      <c r="E9" s="33">
        <v>0</v>
      </c>
      <c r="F9" s="49">
        <v>6</v>
      </c>
      <c r="G9" s="33">
        <f t="shared" si="2"/>
        <v>1</v>
      </c>
      <c r="H9" s="33">
        <f t="shared" si="3"/>
        <v>2.4</v>
      </c>
      <c r="I9" s="59">
        <f t="shared" si="4"/>
        <v>0.81666666666666654</v>
      </c>
      <c r="J9" s="63"/>
      <c r="K9" s="68"/>
      <c r="L9" s="25"/>
      <c r="M9" s="25"/>
      <c r="N9" s="25"/>
      <c r="O9" s="25"/>
      <c r="P9" s="25"/>
    </row>
    <row r="10" spans="2:16" ht="22.95" customHeight="1" x14ac:dyDescent="0.35">
      <c r="B10" s="54" t="s">
        <v>85</v>
      </c>
      <c r="C10" s="33" t="str">
        <f t="shared" si="0"/>
        <v>3</v>
      </c>
      <c r="D10" s="33" t="str">
        <f t="shared" si="1"/>
        <v>1</v>
      </c>
      <c r="E10" s="33">
        <v>9</v>
      </c>
      <c r="F10" s="49">
        <v>7</v>
      </c>
      <c r="G10" s="33">
        <f t="shared" si="2"/>
        <v>1</v>
      </c>
      <c r="H10" s="33">
        <f t="shared" si="3"/>
        <v>2.4</v>
      </c>
      <c r="I10" s="59">
        <f t="shared" si="4"/>
        <v>0.81666666666666654</v>
      </c>
      <c r="J10" s="63" t="s">
        <v>103</v>
      </c>
      <c r="K10" s="68"/>
      <c r="L10" s="25"/>
      <c r="M10" s="25"/>
      <c r="N10" s="25"/>
      <c r="O10" s="25"/>
      <c r="P10" s="25"/>
    </row>
    <row r="11" spans="2:16" ht="22.95" customHeight="1" thickBot="1" x14ac:dyDescent="0.4">
      <c r="B11" s="54" t="s">
        <v>86</v>
      </c>
      <c r="C11" s="33" t="str">
        <f t="shared" si="0"/>
        <v>8</v>
      </c>
      <c r="D11" s="33" t="str">
        <f t="shared" si="1"/>
        <v>3</v>
      </c>
      <c r="E11" s="33">
        <v>9</v>
      </c>
      <c r="F11" s="49">
        <v>8</v>
      </c>
      <c r="G11" s="33">
        <f t="shared" si="2"/>
        <v>2</v>
      </c>
      <c r="H11" s="33">
        <f t="shared" si="3"/>
        <v>2.4</v>
      </c>
      <c r="I11" s="59">
        <f t="shared" si="4"/>
        <v>6.6666666666666638E-2</v>
      </c>
      <c r="J11" s="64" t="s">
        <v>99</v>
      </c>
      <c r="K11" s="69"/>
      <c r="L11" s="25"/>
      <c r="M11" s="25"/>
      <c r="N11" s="25"/>
      <c r="O11" s="25"/>
      <c r="P11" s="25"/>
    </row>
    <row r="12" spans="2:16" ht="22.95" customHeight="1" x14ac:dyDescent="0.35">
      <c r="B12" s="54" t="s">
        <v>87</v>
      </c>
      <c r="C12" s="33" t="str">
        <f t="shared" si="0"/>
        <v>2</v>
      </c>
      <c r="D12" s="33" t="str">
        <f t="shared" si="1"/>
        <v>2</v>
      </c>
      <c r="E12" s="33">
        <v>0</v>
      </c>
      <c r="F12" s="49">
        <v>9</v>
      </c>
      <c r="G12" s="33">
        <f t="shared" si="2"/>
        <v>3</v>
      </c>
      <c r="H12" s="33">
        <f t="shared" si="3"/>
        <v>2.4</v>
      </c>
      <c r="I12" s="55">
        <f t="shared" si="4"/>
        <v>0.15000000000000005</v>
      </c>
    </row>
    <row r="13" spans="2:16" ht="22.95" customHeight="1" x14ac:dyDescent="0.35">
      <c r="B13" s="54" t="s">
        <v>95</v>
      </c>
      <c r="C13" s="33" t="str">
        <f t="shared" si="0"/>
        <v>0</v>
      </c>
      <c r="D13" s="33" t="str">
        <f t="shared" si="1"/>
        <v>7</v>
      </c>
      <c r="E13" s="33">
        <v>9</v>
      </c>
      <c r="F13" s="49">
        <v>10</v>
      </c>
      <c r="G13" s="33">
        <f t="shared" si="2"/>
        <v>0</v>
      </c>
      <c r="H13" s="33">
        <f t="shared" si="3"/>
        <v>2.4</v>
      </c>
      <c r="I13" s="55">
        <f t="shared" si="4"/>
        <v>2.4</v>
      </c>
    </row>
    <row r="14" spans="2:16" ht="22.95" customHeight="1" x14ac:dyDescent="0.35">
      <c r="B14" s="54" t="s">
        <v>96</v>
      </c>
      <c r="C14" s="33" t="str">
        <f t="shared" si="0"/>
        <v>6</v>
      </c>
      <c r="D14" s="33" t="str">
        <f t="shared" si="1"/>
        <v>0</v>
      </c>
      <c r="E14" s="33">
        <v>8</v>
      </c>
      <c r="F14" s="49">
        <v>11</v>
      </c>
      <c r="G14" s="33">
        <f t="shared" si="2"/>
        <v>0</v>
      </c>
      <c r="H14" s="33">
        <f t="shared" si="3"/>
        <v>2.4</v>
      </c>
      <c r="I14" s="55">
        <f t="shared" si="4"/>
        <v>2.4</v>
      </c>
    </row>
    <row r="15" spans="2:16" ht="22.95" customHeight="1" x14ac:dyDescent="0.35">
      <c r="B15" s="54"/>
      <c r="C15" s="33"/>
      <c r="D15" s="33"/>
      <c r="E15" s="33">
        <v>8</v>
      </c>
      <c r="F15" s="33"/>
      <c r="G15" s="33"/>
      <c r="H15" s="33"/>
      <c r="I15" s="55"/>
    </row>
    <row r="16" spans="2:16" ht="22.95" customHeight="1" x14ac:dyDescent="0.35">
      <c r="B16" s="54"/>
      <c r="C16" s="33"/>
      <c r="D16" s="33"/>
      <c r="E16" s="33">
        <v>7</v>
      </c>
      <c r="F16" s="33"/>
      <c r="G16" s="33"/>
      <c r="H16" s="33" t="s">
        <v>97</v>
      </c>
      <c r="I16" s="55">
        <f>SUM(I3:I14)</f>
        <v>14.716666666666667</v>
      </c>
    </row>
    <row r="17" spans="2:9" ht="22.95" customHeight="1" x14ac:dyDescent="0.35">
      <c r="B17" s="54"/>
      <c r="C17" s="33"/>
      <c r="D17" s="33"/>
      <c r="E17" s="33">
        <v>0</v>
      </c>
      <c r="F17" s="33"/>
      <c r="G17" s="33"/>
      <c r="H17" s="33"/>
      <c r="I17" s="55"/>
    </row>
    <row r="18" spans="2:9" ht="22.95" customHeight="1" x14ac:dyDescent="0.35">
      <c r="B18" s="54"/>
      <c r="C18" s="33"/>
      <c r="D18" s="33"/>
      <c r="E18" s="33">
        <v>0</v>
      </c>
      <c r="F18" s="33"/>
      <c r="G18" s="33"/>
      <c r="H18" s="33"/>
      <c r="I18" s="55"/>
    </row>
    <row r="19" spans="2:9" ht="22.95" customHeight="1" x14ac:dyDescent="0.35">
      <c r="B19" s="54"/>
      <c r="C19" s="33"/>
      <c r="D19" s="33"/>
      <c r="E19" s="33">
        <v>2</v>
      </c>
      <c r="F19" s="33"/>
      <c r="G19" s="33"/>
      <c r="H19" s="33"/>
      <c r="I19" s="55"/>
    </row>
    <row r="20" spans="2:9" ht="22.95" customHeight="1" x14ac:dyDescent="0.35">
      <c r="B20" s="54"/>
      <c r="C20" s="33"/>
      <c r="D20" s="33"/>
      <c r="E20" s="33">
        <v>1</v>
      </c>
      <c r="F20" s="33"/>
      <c r="G20" s="33"/>
      <c r="H20" s="33"/>
      <c r="I20" s="55"/>
    </row>
    <row r="21" spans="2:9" ht="22.95" customHeight="1" x14ac:dyDescent="0.35">
      <c r="B21" s="54"/>
      <c r="C21" s="33"/>
      <c r="D21" s="33"/>
      <c r="E21" s="33">
        <v>0</v>
      </c>
      <c r="F21" s="33"/>
      <c r="G21" s="33"/>
      <c r="H21" s="33"/>
      <c r="I21" s="55"/>
    </row>
    <row r="22" spans="2:9" ht="22.95" customHeight="1" x14ac:dyDescent="0.35">
      <c r="B22" s="54"/>
      <c r="C22" s="33"/>
      <c r="D22" s="33"/>
      <c r="E22" s="33">
        <v>3</v>
      </c>
      <c r="F22" s="33"/>
      <c r="G22" s="33"/>
      <c r="H22" s="33"/>
      <c r="I22" s="55"/>
    </row>
    <row r="23" spans="2:9" x14ac:dyDescent="0.35">
      <c r="B23" s="54"/>
      <c r="C23" s="33"/>
      <c r="D23" s="33"/>
      <c r="E23" s="33">
        <v>4</v>
      </c>
      <c r="F23" s="33"/>
      <c r="G23" s="33"/>
      <c r="H23" s="33"/>
      <c r="I23" s="55"/>
    </row>
    <row r="24" spans="2:9" x14ac:dyDescent="0.35">
      <c r="B24" s="54"/>
      <c r="C24" s="33"/>
      <c r="D24" s="33"/>
      <c r="E24" s="33">
        <v>6</v>
      </c>
      <c r="F24" s="33"/>
      <c r="G24" s="33"/>
      <c r="H24" s="33"/>
      <c r="I24" s="55"/>
    </row>
    <row r="25" spans="2:9" x14ac:dyDescent="0.35">
      <c r="B25" s="54"/>
      <c r="C25" s="33"/>
      <c r="D25" s="33"/>
      <c r="E25" s="33">
        <v>5</v>
      </c>
      <c r="F25" s="33"/>
      <c r="G25" s="33"/>
      <c r="H25" s="33"/>
      <c r="I25" s="55"/>
    </row>
    <row r="26" spans="2:9" ht="18.600000000000001" thickBot="1" x14ac:dyDescent="0.4">
      <c r="B26" s="56"/>
      <c r="C26" s="57"/>
      <c r="D26" s="57"/>
      <c r="E26" s="57">
        <v>9</v>
      </c>
      <c r="F26" s="57"/>
      <c r="G26" s="57"/>
      <c r="H26" s="57"/>
      <c r="I26" s="5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Activity 1</vt:lpstr>
      <vt:lpstr>Activity 2</vt:lpstr>
      <vt:lpstr>Activity 3</vt:lpstr>
      <vt:lpstr>Activity 4</vt:lpstr>
      <vt:lpstr>Activity 5</vt:lpstr>
      <vt:lpstr>Activity 6</vt:lpstr>
      <vt:lpstr>Activity 7</vt:lpstr>
      <vt:lpstr>Acitivity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Shayan Akhtar</dc:creator>
  <cp:lastModifiedBy>Shayan Akhtar</cp:lastModifiedBy>
  <cp:lastPrinted>2025-05-02T20:35:00Z</cp:lastPrinted>
  <dcterms:created xsi:type="dcterms:W3CDTF">2025-04-24T17:36:43Z</dcterms:created>
  <dcterms:modified xsi:type="dcterms:W3CDTF">2025-05-03T14:26:26Z</dcterms:modified>
</cp:coreProperties>
</file>